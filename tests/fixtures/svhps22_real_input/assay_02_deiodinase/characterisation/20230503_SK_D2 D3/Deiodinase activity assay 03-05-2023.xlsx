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athalie\Experiments\2023\Deiodase assay\20230503_SK deiodase\"/>
    </mc:Choice>
  </mc:AlternateContent>
  <bookViews>
    <workbookView xWindow="-105" yWindow="-105" windowWidth="23250" windowHeight="13170" tabRatio="583" activeTab="6"/>
  </bookViews>
  <sheets>
    <sheet name="Protocol" sheetId="7" r:id="rId1"/>
    <sheet name="Mix calculations" sheetId="8" r:id="rId2"/>
    <sheet name="Protein concentration" sheetId="6" r:id="rId3"/>
    <sheet name="Conversion Deio2" sheetId="11" r:id="rId4"/>
    <sheet name="Analysis D2" sheetId="4" r:id="rId5"/>
    <sheet name="Conversion Deio3" sheetId="12" r:id="rId6"/>
    <sheet name="Analysis D3" sheetId="13" r:id="rId7"/>
  </sheets>
  <calcPr calcId="162913"/>
</workbook>
</file>

<file path=xl/calcChain.xml><?xml version="1.0" encoding="utf-8"?>
<calcChain xmlns="http://schemas.openxmlformats.org/spreadsheetml/2006/main">
  <c r="P4" i="13" l="1"/>
  <c r="J4" i="13"/>
  <c r="N8" i="8" l="1"/>
  <c r="O3" i="11" l="1"/>
  <c r="B3" i="12"/>
  <c r="D8" i="12"/>
  <c r="B8" i="12"/>
  <c r="D7" i="12"/>
  <c r="B17" i="8" l="1"/>
  <c r="B12" i="8"/>
  <c r="H9" i="11" l="1"/>
  <c r="L9" i="11" s="1"/>
  <c r="U10" i="4" s="1"/>
  <c r="H10" i="11"/>
  <c r="K10" i="11" s="1"/>
  <c r="P10" i="4" s="1"/>
  <c r="M10" i="11"/>
  <c r="AB10" i="4" s="1"/>
  <c r="O10" i="11"/>
  <c r="AN10" i="4" s="1"/>
  <c r="H11" i="11"/>
  <c r="J11" i="11" s="1"/>
  <c r="I12" i="4" s="1"/>
  <c r="N11" i="11"/>
  <c r="AG12" i="4" s="1"/>
  <c r="O11" i="11"/>
  <c r="AM12" i="4" s="1"/>
  <c r="H12" i="11"/>
  <c r="J12" i="11" s="1"/>
  <c r="N12" i="11"/>
  <c r="AH12" i="4" s="1"/>
  <c r="O12" i="11"/>
  <c r="AN12" i="4" s="1"/>
  <c r="H13" i="11"/>
  <c r="N13" i="11" s="1"/>
  <c r="AG14" i="4" s="1"/>
  <c r="K13" i="11"/>
  <c r="H14" i="11"/>
  <c r="M14" i="11" s="1"/>
  <c r="AB14" i="4" s="1"/>
  <c r="J14" i="11"/>
  <c r="J14" i="13" s="1"/>
  <c r="N14" i="11"/>
  <c r="AH14" i="4" s="1"/>
  <c r="H15" i="11"/>
  <c r="L15" i="11" s="1"/>
  <c r="U16" i="4" s="1"/>
  <c r="H16" i="11"/>
  <c r="K16" i="11" s="1"/>
  <c r="P16" i="4" s="1"/>
  <c r="L16" i="11"/>
  <c r="H17" i="11"/>
  <c r="J17" i="11" s="1"/>
  <c r="I18" i="4" s="1"/>
  <c r="K17" i="11"/>
  <c r="L17" i="11"/>
  <c r="U18" i="4" s="1"/>
  <c r="M17" i="11"/>
  <c r="N17" i="11"/>
  <c r="AG18" i="4" s="1"/>
  <c r="O17" i="11"/>
  <c r="AM18" i="4" s="1"/>
  <c r="H18" i="11"/>
  <c r="J18" i="11"/>
  <c r="K18" i="11"/>
  <c r="P18" i="4" s="1"/>
  <c r="L18" i="11"/>
  <c r="M18" i="11"/>
  <c r="N18" i="11"/>
  <c r="AH18" i="4" s="1"/>
  <c r="O18" i="11"/>
  <c r="AN18" i="4" s="1"/>
  <c r="H19" i="11"/>
  <c r="N19" i="11" s="1"/>
  <c r="AG20" i="4" s="1"/>
  <c r="J19" i="11"/>
  <c r="I20" i="4" s="1"/>
  <c r="H20" i="11"/>
  <c r="M20" i="11" s="1"/>
  <c r="AB20" i="4" s="1"/>
  <c r="O20" i="11"/>
  <c r="AN20" i="4" s="1"/>
  <c r="H20" i="12"/>
  <c r="L20" i="12" s="1"/>
  <c r="V20" i="13" s="1"/>
  <c r="M20" i="12"/>
  <c r="AB20" i="13" s="1"/>
  <c r="H19" i="12"/>
  <c r="M19" i="12"/>
  <c r="AA20" i="13" s="1"/>
  <c r="AC21" i="13" s="1"/>
  <c r="H18" i="12"/>
  <c r="L18" i="12" s="1"/>
  <c r="V18" i="13" s="1"/>
  <c r="M18" i="12"/>
  <c r="AB18" i="13" s="1"/>
  <c r="H17" i="12"/>
  <c r="M17" i="12"/>
  <c r="AA18" i="13" s="1"/>
  <c r="H16" i="12"/>
  <c r="N16" i="12" s="1"/>
  <c r="M16" i="12"/>
  <c r="AB16" i="13" s="1"/>
  <c r="H15" i="12"/>
  <c r="M15" i="12"/>
  <c r="AA16" i="13" s="1"/>
  <c r="H14" i="12"/>
  <c r="L14" i="12" s="1"/>
  <c r="V14" i="13" s="1"/>
  <c r="M14" i="12"/>
  <c r="AB14" i="13" s="1"/>
  <c r="H13" i="12"/>
  <c r="M13" i="12"/>
  <c r="AA14" i="13" s="1"/>
  <c r="AA12" i="13"/>
  <c r="AC13" i="13" s="1"/>
  <c r="L19" i="12"/>
  <c r="U20" i="13" s="1"/>
  <c r="L17" i="12"/>
  <c r="U18" i="13"/>
  <c r="L15" i="12"/>
  <c r="U16" i="13"/>
  <c r="W16" i="13" s="1"/>
  <c r="L13" i="12"/>
  <c r="U14" i="13" s="1"/>
  <c r="U12" i="13"/>
  <c r="K19" i="12"/>
  <c r="O20" i="13" s="1"/>
  <c r="K18" i="12"/>
  <c r="P18" i="13"/>
  <c r="K17" i="12"/>
  <c r="O18" i="13" s="1"/>
  <c r="K15" i="12"/>
  <c r="O16" i="13"/>
  <c r="K13" i="12"/>
  <c r="O14" i="13" s="1"/>
  <c r="J19" i="12"/>
  <c r="I20" i="13" s="1"/>
  <c r="J18" i="12"/>
  <c r="J18" i="13"/>
  <c r="J17" i="12"/>
  <c r="I18" i="13" s="1"/>
  <c r="J15" i="12"/>
  <c r="I16" i="13"/>
  <c r="J13" i="12"/>
  <c r="I14" i="13" s="1"/>
  <c r="H9" i="12"/>
  <c r="K9" i="12" s="1"/>
  <c r="O10" i="13" s="1"/>
  <c r="Q11" i="13" s="1"/>
  <c r="J9" i="12"/>
  <c r="I10" i="13" s="1"/>
  <c r="H10" i="12"/>
  <c r="N10" i="12" s="1"/>
  <c r="K10" i="12"/>
  <c r="P10" i="13" s="1"/>
  <c r="L10" i="12"/>
  <c r="V10" i="13" s="1"/>
  <c r="M10" i="12"/>
  <c r="AB10" i="13" s="1"/>
  <c r="O10" i="12"/>
  <c r="H11" i="12"/>
  <c r="J11" i="12"/>
  <c r="I12" i="13" s="1"/>
  <c r="K11" i="12"/>
  <c r="O12" i="13" s="1"/>
  <c r="L11" i="12"/>
  <c r="M11" i="12"/>
  <c r="N11" i="12"/>
  <c r="O11" i="12"/>
  <c r="H12" i="12"/>
  <c r="K12" i="12" s="1"/>
  <c r="P12" i="13" s="1"/>
  <c r="J12" i="12"/>
  <c r="O12" i="12"/>
  <c r="N13" i="12"/>
  <c r="O13" i="12"/>
  <c r="N15" i="12"/>
  <c r="O15" i="12"/>
  <c r="N17" i="12"/>
  <c r="O17" i="12"/>
  <c r="N18" i="12"/>
  <c r="O18" i="12"/>
  <c r="N19" i="12"/>
  <c r="O19" i="12"/>
  <c r="H3" i="12"/>
  <c r="M3" i="12" s="1"/>
  <c r="AA4" i="13" s="1"/>
  <c r="AC4" i="13" s="1"/>
  <c r="AD20" i="13" s="1"/>
  <c r="AF21" i="13" s="1"/>
  <c r="H4" i="12"/>
  <c r="K4" i="12" s="1"/>
  <c r="H5" i="12"/>
  <c r="N5" i="12" s="1"/>
  <c r="H6" i="12"/>
  <c r="N6" i="12" s="1"/>
  <c r="H7" i="12"/>
  <c r="M7" i="12" s="1"/>
  <c r="AA8" i="13" s="1"/>
  <c r="H8" i="12"/>
  <c r="K8" i="12" s="1"/>
  <c r="P8" i="13" s="1"/>
  <c r="AM20" i="13"/>
  <c r="AO20" i="13"/>
  <c r="AN20" i="13"/>
  <c r="AH20" i="13"/>
  <c r="AG20" i="13"/>
  <c r="K20" i="13"/>
  <c r="AM18" i="13"/>
  <c r="AO18" i="13"/>
  <c r="AN18" i="13"/>
  <c r="AH18" i="13"/>
  <c r="AG18" i="13"/>
  <c r="Q17" i="13"/>
  <c r="AM16" i="13"/>
  <c r="AO16" i="13"/>
  <c r="AN16" i="13"/>
  <c r="AH16" i="13"/>
  <c r="AG16" i="13"/>
  <c r="AM14" i="13"/>
  <c r="AO14" i="13"/>
  <c r="AN14" i="13"/>
  <c r="AH14" i="13"/>
  <c r="AG14" i="13"/>
  <c r="AM12" i="13"/>
  <c r="AO12" i="13"/>
  <c r="AN12" i="13"/>
  <c r="AH12" i="13"/>
  <c r="AG12" i="13"/>
  <c r="AO11" i="13"/>
  <c r="AO10" i="13"/>
  <c r="AN8" i="13"/>
  <c r="AM8" i="13"/>
  <c r="AO8" i="13"/>
  <c r="AG8" i="13"/>
  <c r="AI8" i="13"/>
  <c r="AH8" i="13"/>
  <c r="AM6" i="13"/>
  <c r="AO7" i="13"/>
  <c r="AO6" i="13"/>
  <c r="H5" i="11"/>
  <c r="N5" i="11" s="1"/>
  <c r="H6" i="11"/>
  <c r="N6" i="11" s="1"/>
  <c r="AB8" i="12"/>
  <c r="L4" i="12"/>
  <c r="V4" i="13" s="1"/>
  <c r="H3" i="11"/>
  <c r="J3" i="11" s="1"/>
  <c r="I4" i="4" s="1"/>
  <c r="D14" i="6"/>
  <c r="D20" i="6"/>
  <c r="D15" i="6"/>
  <c r="D16" i="6"/>
  <c r="D17" i="6"/>
  <c r="D18" i="6"/>
  <c r="D19" i="6"/>
  <c r="D33" i="6"/>
  <c r="D1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32" i="6"/>
  <c r="K27" i="6"/>
  <c r="L25" i="6"/>
  <c r="N4" i="8"/>
  <c r="B16" i="8"/>
  <c r="B18" i="8"/>
  <c r="E18" i="8" s="1"/>
  <c r="H8" i="11"/>
  <c r="K8" i="11" s="1"/>
  <c r="P8" i="4" s="1"/>
  <c r="H4" i="11"/>
  <c r="K4" i="11" s="1"/>
  <c r="P4" i="4" s="1"/>
  <c r="H7" i="11"/>
  <c r="N7" i="11" s="1"/>
  <c r="AG8" i="4" s="1"/>
  <c r="V16" i="4"/>
  <c r="O14" i="4"/>
  <c r="B11" i="8"/>
  <c r="B13" i="8" s="1"/>
  <c r="E13" i="8" s="1"/>
  <c r="B29" i="8"/>
  <c r="AB18" i="4"/>
  <c r="AA18" i="4"/>
  <c r="AC19" i="4" s="1"/>
  <c r="V18" i="4"/>
  <c r="O18" i="4"/>
  <c r="Q19" i="4" s="1"/>
  <c r="Q18" i="4"/>
  <c r="J18" i="4"/>
  <c r="J14" i="4"/>
  <c r="AC18" i="4"/>
  <c r="B8" i="8"/>
  <c r="B23" i="8"/>
  <c r="Q14" i="4"/>
  <c r="Q15" i="4"/>
  <c r="AB8" i="11"/>
  <c r="J6" i="11"/>
  <c r="J6" i="4" s="1"/>
  <c r="O6" i="11"/>
  <c r="AN6" i="4" s="1"/>
  <c r="B35" i="8"/>
  <c r="N10" i="8"/>
  <c r="R19" i="6"/>
  <c r="N9" i="8"/>
  <c r="K21" i="4" l="1"/>
  <c r="K20" i="4"/>
  <c r="W19" i="4"/>
  <c r="W18" i="4"/>
  <c r="J12" i="4"/>
  <c r="J12" i="13"/>
  <c r="K19" i="11"/>
  <c r="O20" i="4" s="1"/>
  <c r="M16" i="11"/>
  <c r="AB16" i="4" s="1"/>
  <c r="M12" i="11"/>
  <c r="AB12" i="4" s="1"/>
  <c r="J20" i="11"/>
  <c r="J20" i="4" s="1"/>
  <c r="O15" i="11"/>
  <c r="AM16" i="4" s="1"/>
  <c r="O13" i="11"/>
  <c r="AM14" i="4" s="1"/>
  <c r="AO15" i="4" s="1"/>
  <c r="L12" i="11"/>
  <c r="V12" i="4" s="1"/>
  <c r="M11" i="11"/>
  <c r="AA12" i="4" s="1"/>
  <c r="L10" i="11"/>
  <c r="V10" i="4" s="1"/>
  <c r="O16" i="11"/>
  <c r="AN16" i="4" s="1"/>
  <c r="K12" i="11"/>
  <c r="P12" i="4" s="1"/>
  <c r="L11" i="11"/>
  <c r="U12" i="4" s="1"/>
  <c r="O19" i="11"/>
  <c r="AM20" i="4" s="1"/>
  <c r="N16" i="11"/>
  <c r="AH16" i="4" s="1"/>
  <c r="O14" i="11"/>
  <c r="AN14" i="4" s="1"/>
  <c r="K11" i="11"/>
  <c r="O12" i="4" s="1"/>
  <c r="N10" i="11"/>
  <c r="AH10" i="4" s="1"/>
  <c r="L7" i="11"/>
  <c r="U8" i="4" s="1"/>
  <c r="J5" i="11"/>
  <c r="I6" i="4" s="1"/>
  <c r="K6" i="4" s="1"/>
  <c r="O5" i="11"/>
  <c r="AM6" i="4" s="1"/>
  <c r="AO7" i="4" s="1"/>
  <c r="K5" i="11"/>
  <c r="O6" i="4" s="1"/>
  <c r="Q6" i="4" s="1"/>
  <c r="L5" i="11"/>
  <c r="U6" i="4" s="1"/>
  <c r="M5" i="11"/>
  <c r="AA6" i="4" s="1"/>
  <c r="L9" i="12"/>
  <c r="U10" i="13" s="1"/>
  <c r="W10" i="13" s="1"/>
  <c r="K5" i="12"/>
  <c r="O6" i="13" s="1"/>
  <c r="M5" i="12"/>
  <c r="AA6" i="13" s="1"/>
  <c r="O5" i="12"/>
  <c r="L5" i="12"/>
  <c r="U6" i="13" s="1"/>
  <c r="O9" i="12"/>
  <c r="N7" i="12"/>
  <c r="N9" i="12"/>
  <c r="J5" i="12"/>
  <c r="I6" i="13" s="1"/>
  <c r="K6" i="13" s="1"/>
  <c r="O7" i="12"/>
  <c r="M9" i="12"/>
  <c r="AA10" i="13" s="1"/>
  <c r="AC10" i="13" s="1"/>
  <c r="AF10" i="13" s="1"/>
  <c r="K7" i="11"/>
  <c r="O8" i="4" s="1"/>
  <c r="Q9" i="4" s="1"/>
  <c r="O9" i="11"/>
  <c r="AM10" i="4" s="1"/>
  <c r="AO10" i="4" s="1"/>
  <c r="K6" i="11"/>
  <c r="P6" i="4" s="1"/>
  <c r="G25" i="6"/>
  <c r="G24" i="6"/>
  <c r="E14" i="6"/>
  <c r="N8" i="12"/>
  <c r="L8" i="12"/>
  <c r="V8" i="13" s="1"/>
  <c r="M8" i="12"/>
  <c r="AB8" i="13" s="1"/>
  <c r="AC8" i="13" s="1"/>
  <c r="AF8" i="13" s="1"/>
  <c r="J7" i="12"/>
  <c r="I8" i="13" s="1"/>
  <c r="K7" i="12"/>
  <c r="O8" i="13" s="1"/>
  <c r="Q8" i="13" s="1"/>
  <c r="L7" i="12"/>
  <c r="U8" i="13" s="1"/>
  <c r="J6" i="12"/>
  <c r="J6" i="13" s="1"/>
  <c r="O6" i="12"/>
  <c r="K6" i="12"/>
  <c r="P6" i="13" s="1"/>
  <c r="Q7" i="13" s="1"/>
  <c r="L6" i="12"/>
  <c r="V6" i="13" s="1"/>
  <c r="W6" i="13" s="1"/>
  <c r="M6" i="12"/>
  <c r="AB6" i="13" s="1"/>
  <c r="AC7" i="13" s="1"/>
  <c r="M4" i="12"/>
  <c r="AB4" i="13" s="1"/>
  <c r="N4" i="12"/>
  <c r="AH4" i="13" s="1"/>
  <c r="N8" i="11"/>
  <c r="AH8" i="4" s="1"/>
  <c r="AI8" i="4" s="1"/>
  <c r="J8" i="11"/>
  <c r="J8" i="4" s="1"/>
  <c r="M8" i="11"/>
  <c r="AB8" i="4" s="1"/>
  <c r="L8" i="11"/>
  <c r="V8" i="4" s="1"/>
  <c r="O8" i="11"/>
  <c r="AN8" i="4" s="1"/>
  <c r="J7" i="11"/>
  <c r="I8" i="4" s="1"/>
  <c r="O7" i="11"/>
  <c r="AM8" i="4" s="1"/>
  <c r="M7" i="11"/>
  <c r="AA8" i="4" s="1"/>
  <c r="M6" i="11"/>
  <c r="AB6" i="4" s="1"/>
  <c r="L6" i="11"/>
  <c r="V6" i="4" s="1"/>
  <c r="AD14" i="13"/>
  <c r="AF15" i="13" s="1"/>
  <c r="AE16" i="13"/>
  <c r="L4" i="11"/>
  <c r="V4" i="4" s="1"/>
  <c r="N4" i="11"/>
  <c r="AH4" i="4" s="1"/>
  <c r="J4" i="11"/>
  <c r="J4" i="4" s="1"/>
  <c r="M4" i="11"/>
  <c r="AB4" i="4" s="1"/>
  <c r="O4" i="11"/>
  <c r="AN4" i="4" s="1"/>
  <c r="AM4" i="4"/>
  <c r="K3" i="11"/>
  <c r="O4" i="4" s="1"/>
  <c r="Q4" i="4" s="1"/>
  <c r="S16" i="4" s="1"/>
  <c r="M3" i="11"/>
  <c r="AA4" i="4" s="1"/>
  <c r="AC4" i="4" s="1"/>
  <c r="AE20" i="4" s="1"/>
  <c r="D35" i="4" s="1"/>
  <c r="N3" i="11"/>
  <c r="AG4" i="4" s="1"/>
  <c r="L3" i="11"/>
  <c r="U4" i="4" s="1"/>
  <c r="W4" i="4" s="1"/>
  <c r="AE12" i="4"/>
  <c r="D31" i="4" s="1"/>
  <c r="Q13" i="13"/>
  <c r="Q12" i="13"/>
  <c r="AD6" i="13"/>
  <c r="AC20" i="13"/>
  <c r="AF20" i="13" s="1"/>
  <c r="L3" i="12"/>
  <c r="K3" i="12"/>
  <c r="J3" i="12"/>
  <c r="I4" i="13" s="1"/>
  <c r="O3" i="12"/>
  <c r="AM4" i="13" s="1"/>
  <c r="Q16" i="13"/>
  <c r="AE14" i="13"/>
  <c r="AD18" i="13"/>
  <c r="AF19" i="13" s="1"/>
  <c r="AC19" i="13"/>
  <c r="AC18" i="13"/>
  <c r="AF18" i="13" s="1"/>
  <c r="AE20" i="13"/>
  <c r="N3" i="12"/>
  <c r="AG4" i="13" s="1"/>
  <c r="AE10" i="13"/>
  <c r="AC11" i="13"/>
  <c r="AD10" i="13"/>
  <c r="AF11" i="13" s="1"/>
  <c r="K15" i="13"/>
  <c r="K14" i="13"/>
  <c r="K21" i="13"/>
  <c r="W12" i="13"/>
  <c r="W13" i="13"/>
  <c r="W21" i="13"/>
  <c r="W20" i="13"/>
  <c r="AD8" i="13"/>
  <c r="K17" i="13"/>
  <c r="K16" i="13"/>
  <c r="Q19" i="13"/>
  <c r="Q18" i="13"/>
  <c r="W15" i="13"/>
  <c r="W14" i="13"/>
  <c r="AD16" i="13"/>
  <c r="AF17" i="13" s="1"/>
  <c r="AC17" i="13"/>
  <c r="AC16" i="13"/>
  <c r="AF16" i="13" s="1"/>
  <c r="AE18" i="13"/>
  <c r="W17" i="13"/>
  <c r="AD12" i="13"/>
  <c r="AF13" i="13" s="1"/>
  <c r="AC12" i="13"/>
  <c r="AF12" i="13" s="1"/>
  <c r="K13" i="13"/>
  <c r="K12" i="13"/>
  <c r="K19" i="13"/>
  <c r="K18" i="13"/>
  <c r="AC14" i="13"/>
  <c r="AF14" i="13" s="1"/>
  <c r="AC15" i="13"/>
  <c r="Q14" i="13"/>
  <c r="Q15" i="13"/>
  <c r="Q21" i="13"/>
  <c r="Q20" i="13"/>
  <c r="W18" i="13"/>
  <c r="W19" i="13"/>
  <c r="O4" i="12"/>
  <c r="AN4" i="13" s="1"/>
  <c r="O8" i="12"/>
  <c r="O20" i="12"/>
  <c r="O14" i="12"/>
  <c r="N12" i="12"/>
  <c r="J10" i="12"/>
  <c r="J4" i="12"/>
  <c r="J8" i="12"/>
  <c r="J8" i="13" s="1"/>
  <c r="N20" i="12"/>
  <c r="N14" i="12"/>
  <c r="M12" i="12"/>
  <c r="AB12" i="13" s="1"/>
  <c r="AE12" i="13" s="1"/>
  <c r="J16" i="12"/>
  <c r="J16" i="13" s="1"/>
  <c r="K16" i="12"/>
  <c r="P16" i="13" s="1"/>
  <c r="L16" i="12"/>
  <c r="V16" i="13" s="1"/>
  <c r="O16" i="12"/>
  <c r="J14" i="12"/>
  <c r="L12" i="12"/>
  <c r="V12" i="13" s="1"/>
  <c r="J20" i="12"/>
  <c r="J20" i="13" s="1"/>
  <c r="K14" i="12"/>
  <c r="P14" i="13" s="1"/>
  <c r="K20" i="12"/>
  <c r="P20" i="13" s="1"/>
  <c r="AO19" i="4"/>
  <c r="AO18" i="4"/>
  <c r="Q8" i="4"/>
  <c r="AO21" i="4"/>
  <c r="AO20" i="4"/>
  <c r="AI19" i="4"/>
  <c r="AI18" i="4"/>
  <c r="AI15" i="4"/>
  <c r="AI14" i="4"/>
  <c r="K13" i="4"/>
  <c r="K12" i="4"/>
  <c r="AE10" i="4"/>
  <c r="D30" i="4" s="1"/>
  <c r="AE16" i="4"/>
  <c r="D33" i="4" s="1"/>
  <c r="AD12" i="4"/>
  <c r="AE18" i="4"/>
  <c r="D34" i="4" s="1"/>
  <c r="AO13" i="4"/>
  <c r="AO12" i="4"/>
  <c r="W10" i="4"/>
  <c r="W11" i="4"/>
  <c r="K4" i="4"/>
  <c r="L18" i="4" s="1"/>
  <c r="N19" i="4" s="1"/>
  <c r="K5" i="4"/>
  <c r="AH6" i="13"/>
  <c r="AH6" i="4"/>
  <c r="AI20" i="4"/>
  <c r="AI21" i="4"/>
  <c r="AE14" i="4"/>
  <c r="D32" i="4" s="1"/>
  <c r="AI12" i="4"/>
  <c r="AI13" i="4"/>
  <c r="K19" i="4"/>
  <c r="K18" i="4"/>
  <c r="AO17" i="4"/>
  <c r="AO16" i="4"/>
  <c r="AO14" i="4"/>
  <c r="W16" i="4"/>
  <c r="W17" i="4"/>
  <c r="AG6" i="4"/>
  <c r="AG6" i="13"/>
  <c r="L20" i="11"/>
  <c r="V20" i="4" s="1"/>
  <c r="M19" i="11"/>
  <c r="AA20" i="4" s="1"/>
  <c r="J16" i="11"/>
  <c r="J16" i="4" s="1"/>
  <c r="K15" i="11"/>
  <c r="O16" i="4" s="1"/>
  <c r="L14" i="11"/>
  <c r="V14" i="4" s="1"/>
  <c r="M13" i="11"/>
  <c r="AA14" i="4" s="1"/>
  <c r="J10" i="11"/>
  <c r="K9" i="11"/>
  <c r="O10" i="4" s="1"/>
  <c r="K20" i="11"/>
  <c r="P20" i="4" s="1"/>
  <c r="L19" i="11"/>
  <c r="U20" i="4" s="1"/>
  <c r="J15" i="11"/>
  <c r="I16" i="4" s="1"/>
  <c r="K14" i="11"/>
  <c r="P14" i="4" s="1"/>
  <c r="L13" i="11"/>
  <c r="U14" i="4" s="1"/>
  <c r="J9" i="11"/>
  <c r="I10" i="4" s="1"/>
  <c r="N15" i="11"/>
  <c r="AG16" i="4" s="1"/>
  <c r="J13" i="11"/>
  <c r="I14" i="4" s="1"/>
  <c r="N9" i="11"/>
  <c r="AG10" i="4" s="1"/>
  <c r="N20" i="11"/>
  <c r="AH20" i="4" s="1"/>
  <c r="M15" i="11"/>
  <c r="AA16" i="4" s="1"/>
  <c r="M9" i="11"/>
  <c r="AA10" i="4" s="1"/>
  <c r="AI4" i="4" l="1"/>
  <c r="AK16" i="4" s="1"/>
  <c r="AO11" i="4"/>
  <c r="Q13" i="4"/>
  <c r="Q12" i="4"/>
  <c r="AC7" i="4"/>
  <c r="AC13" i="4"/>
  <c r="AC12" i="4"/>
  <c r="AF12" i="4" s="1"/>
  <c r="W12" i="4"/>
  <c r="W13" i="4"/>
  <c r="Q20" i="4"/>
  <c r="Q21" i="4"/>
  <c r="W8" i="4"/>
  <c r="AC6" i="4"/>
  <c r="AF6" i="4" s="1"/>
  <c r="AD6" i="4"/>
  <c r="K7" i="4"/>
  <c r="AO6" i="4"/>
  <c r="Q7" i="4"/>
  <c r="W6" i="4"/>
  <c r="Z6" i="4" s="1"/>
  <c r="R6" i="4"/>
  <c r="X6" i="4"/>
  <c r="W11" i="13"/>
  <c r="W8" i="13"/>
  <c r="Q6" i="13"/>
  <c r="AE6" i="13"/>
  <c r="K8" i="13"/>
  <c r="K7" i="13"/>
  <c r="Z16" i="4"/>
  <c r="AF18" i="4"/>
  <c r="AE6" i="4"/>
  <c r="D28" i="4" s="1"/>
  <c r="AE8" i="4"/>
  <c r="D29" i="4" s="1"/>
  <c r="AD18" i="4"/>
  <c r="AF19" i="4" s="1"/>
  <c r="R18" i="4"/>
  <c r="T18" i="4" s="1"/>
  <c r="AD8" i="4"/>
  <c r="E32" i="6"/>
  <c r="F6" i="13" s="1"/>
  <c r="E43" i="6"/>
  <c r="E35" i="6"/>
  <c r="F8" i="4" s="1"/>
  <c r="E47" i="6"/>
  <c r="E36" i="6"/>
  <c r="E41" i="6"/>
  <c r="E37" i="6"/>
  <c r="E42" i="6"/>
  <c r="E46" i="6"/>
  <c r="E38" i="6"/>
  <c r="E39" i="6"/>
  <c r="E33" i="6"/>
  <c r="F8" i="13" s="1"/>
  <c r="E45" i="6"/>
  <c r="E44" i="6"/>
  <c r="E34" i="6"/>
  <c r="F6" i="4" s="1"/>
  <c r="F28" i="4" s="1"/>
  <c r="E40" i="6"/>
  <c r="K9" i="13"/>
  <c r="AE8" i="13"/>
  <c r="AF9" i="13" s="1"/>
  <c r="W9" i="13"/>
  <c r="Q9" i="13"/>
  <c r="AF7" i="13"/>
  <c r="W7" i="13"/>
  <c r="AC6" i="13"/>
  <c r="AF6" i="13" s="1"/>
  <c r="AI4" i="13"/>
  <c r="AK16" i="13" s="1"/>
  <c r="AO4" i="13"/>
  <c r="AQ14" i="13" s="1"/>
  <c r="W9" i="4"/>
  <c r="AO8" i="4"/>
  <c r="K9" i="4"/>
  <c r="K8" i="4"/>
  <c r="N8" i="4" s="1"/>
  <c r="AO9" i="4"/>
  <c r="AC8" i="4"/>
  <c r="AF8" i="4" s="1"/>
  <c r="W7" i="4"/>
  <c r="Y8" i="4"/>
  <c r="AO4" i="4"/>
  <c r="AR14" i="4" s="1"/>
  <c r="R20" i="4"/>
  <c r="T21" i="4" s="1"/>
  <c r="S12" i="4"/>
  <c r="S10" i="4"/>
  <c r="R8" i="4"/>
  <c r="S20" i="4"/>
  <c r="T10" i="4"/>
  <c r="T6" i="4"/>
  <c r="S6" i="4"/>
  <c r="S18" i="4"/>
  <c r="S14" i="4"/>
  <c r="AR6" i="4"/>
  <c r="R12" i="4"/>
  <c r="T13" i="4" s="1"/>
  <c r="T8" i="4"/>
  <c r="S8" i="4"/>
  <c r="R14" i="4"/>
  <c r="T15" i="4" s="1"/>
  <c r="F32" i="4"/>
  <c r="M16" i="4"/>
  <c r="Y10" i="4"/>
  <c r="Y16" i="4"/>
  <c r="AP8" i="4"/>
  <c r="AP12" i="4"/>
  <c r="AR13" i="4" s="1"/>
  <c r="F30" i="4"/>
  <c r="AR20" i="4"/>
  <c r="AK6" i="4"/>
  <c r="Z12" i="4"/>
  <c r="X10" i="4"/>
  <c r="Z11" i="4" s="1"/>
  <c r="AP10" i="4"/>
  <c r="AR11" i="4" s="1"/>
  <c r="AK8" i="4"/>
  <c r="Y6" i="4"/>
  <c r="Y20" i="4"/>
  <c r="Y18" i="4"/>
  <c r="X18" i="4"/>
  <c r="Z19" i="4" s="1"/>
  <c r="Z10" i="4"/>
  <c r="Y14" i="4"/>
  <c r="X16" i="4"/>
  <c r="Z17" i="4" s="1"/>
  <c r="X12" i="4"/>
  <c r="Z13" i="4" s="1"/>
  <c r="Z18" i="4"/>
  <c r="X8" i="4"/>
  <c r="Z9" i="4" s="1"/>
  <c r="N18" i="4"/>
  <c r="Z8" i="4"/>
  <c r="Y12" i="4"/>
  <c r="AQ6" i="13"/>
  <c r="AP20" i="13"/>
  <c r="K4" i="13"/>
  <c r="M8" i="13" s="1"/>
  <c r="O4" i="13"/>
  <c r="K5" i="13"/>
  <c r="U4" i="13"/>
  <c r="W4" i="13" s="1"/>
  <c r="Y16" i="13" s="1"/>
  <c r="W21" i="4"/>
  <c r="X20" i="4"/>
  <c r="Z21" i="4" s="1"/>
  <c r="W20" i="4"/>
  <c r="Z20" i="4" s="1"/>
  <c r="AI6" i="13"/>
  <c r="AC11" i="4"/>
  <c r="AD10" i="4"/>
  <c r="AC10" i="4"/>
  <c r="AF10" i="4" s="1"/>
  <c r="K10" i="4"/>
  <c r="N10" i="4" s="1"/>
  <c r="K11" i="4"/>
  <c r="L10" i="4"/>
  <c r="N11" i="4" s="1"/>
  <c r="R10" i="4"/>
  <c r="T11" i="4" s="1"/>
  <c r="Q11" i="4"/>
  <c r="AC20" i="4"/>
  <c r="AF20" i="4" s="1"/>
  <c r="AC21" i="4"/>
  <c r="AD20" i="4"/>
  <c r="AI7" i="4"/>
  <c r="AI6" i="4"/>
  <c r="N20" i="4"/>
  <c r="M12" i="4"/>
  <c r="L20" i="4"/>
  <c r="N21" i="4" s="1"/>
  <c r="M20" i="4"/>
  <c r="M14" i="4"/>
  <c r="M18" i="4"/>
  <c r="L6" i="4"/>
  <c r="C34" i="4"/>
  <c r="E34" i="4" s="1"/>
  <c r="AF7" i="4"/>
  <c r="C28" i="4"/>
  <c r="AC17" i="4"/>
  <c r="AC16" i="4"/>
  <c r="AF16" i="4" s="1"/>
  <c r="AD16" i="4"/>
  <c r="W14" i="4"/>
  <c r="Z14" i="4" s="1"/>
  <c r="X14" i="4"/>
  <c r="Z15" i="4" s="1"/>
  <c r="W15" i="4"/>
  <c r="J10" i="13"/>
  <c r="J10" i="4"/>
  <c r="M10" i="4" s="1"/>
  <c r="AF13" i="4"/>
  <c r="C31" i="4"/>
  <c r="E31" i="4" s="1"/>
  <c r="L12" i="4"/>
  <c r="N13" i="4" s="1"/>
  <c r="AF9" i="4"/>
  <c r="C29" i="4"/>
  <c r="AC15" i="4"/>
  <c r="AD14" i="4"/>
  <c r="AC14" i="4"/>
  <c r="AF14" i="4" s="1"/>
  <c r="N12" i="4"/>
  <c r="M8" i="4"/>
  <c r="N6" i="4"/>
  <c r="AI11" i="4"/>
  <c r="AI10" i="4"/>
  <c r="K17" i="4"/>
  <c r="K16" i="4"/>
  <c r="N16" i="4" s="1"/>
  <c r="L16" i="4"/>
  <c r="N17" i="4" s="1"/>
  <c r="M6" i="4"/>
  <c r="L8" i="4"/>
  <c r="Q17" i="4"/>
  <c r="R16" i="4"/>
  <c r="Q16" i="4"/>
  <c r="T19" i="4"/>
  <c r="K15" i="4"/>
  <c r="K14" i="4"/>
  <c r="N14" i="4" s="1"/>
  <c r="L14" i="4"/>
  <c r="N15" i="4" s="1"/>
  <c r="AI16" i="4"/>
  <c r="AL16" i="4" s="1"/>
  <c r="AI17" i="4"/>
  <c r="AK18" i="4" l="1"/>
  <c r="AK14" i="4"/>
  <c r="AJ12" i="4"/>
  <c r="AL13" i="4" s="1"/>
  <c r="AL10" i="4"/>
  <c r="AK12" i="4"/>
  <c r="AJ20" i="4"/>
  <c r="AL21" i="4" s="1"/>
  <c r="AP18" i="4"/>
  <c r="AR19" i="4" s="1"/>
  <c r="AQ18" i="4"/>
  <c r="AP6" i="4"/>
  <c r="AR7" i="4" s="1"/>
  <c r="AL12" i="4"/>
  <c r="AJ10" i="4"/>
  <c r="AL11" i="4" s="1"/>
  <c r="AJ6" i="4"/>
  <c r="AL7" i="4" s="1"/>
  <c r="AL18" i="4"/>
  <c r="AL6" i="4"/>
  <c r="AL8" i="4"/>
  <c r="AL20" i="4"/>
  <c r="AL14" i="4"/>
  <c r="AK10" i="4"/>
  <c r="AQ16" i="4"/>
  <c r="F34" i="4"/>
  <c r="AJ16" i="4"/>
  <c r="AL17" i="4" s="1"/>
  <c r="AJ8" i="4"/>
  <c r="AL9" i="4" s="1"/>
  <c r="AJ18" i="4"/>
  <c r="AL19" i="4" s="1"/>
  <c r="F31" i="4"/>
  <c r="AJ14" i="4"/>
  <c r="AL15" i="4" s="1"/>
  <c r="T9" i="4"/>
  <c r="AK20" i="4"/>
  <c r="AL6" i="13"/>
  <c r="AJ20" i="13"/>
  <c r="AK18" i="13"/>
  <c r="AP8" i="13"/>
  <c r="Z7" i="4"/>
  <c r="T7" i="4"/>
  <c r="AL8" i="13"/>
  <c r="AL20" i="13"/>
  <c r="AK6" i="13"/>
  <c r="AJ10" i="13"/>
  <c r="AL14" i="13"/>
  <c r="AK8" i="13"/>
  <c r="AK10" i="13"/>
  <c r="AL18" i="13"/>
  <c r="AK12" i="13"/>
  <c r="AR14" i="13"/>
  <c r="AR12" i="13"/>
  <c r="AJ12" i="13"/>
  <c r="AJ16" i="13"/>
  <c r="AL10" i="13"/>
  <c r="AP6" i="13"/>
  <c r="AR7" i="13" s="1"/>
  <c r="AP14" i="13"/>
  <c r="AJ8" i="13"/>
  <c r="AJ18" i="13"/>
  <c r="AK20" i="13"/>
  <c r="AJ14" i="13"/>
  <c r="AQ12" i="13"/>
  <c r="AR18" i="13"/>
  <c r="AJ6" i="13"/>
  <c r="AL12" i="13"/>
  <c r="AL16" i="13"/>
  <c r="AK14" i="13"/>
  <c r="AP18" i="13"/>
  <c r="AR16" i="13"/>
  <c r="AP10" i="13"/>
  <c r="AP16" i="13"/>
  <c r="AQ8" i="13"/>
  <c r="AR20" i="13"/>
  <c r="AR10" i="13"/>
  <c r="AQ18" i="13"/>
  <c r="AQ16" i="13"/>
  <c r="AQ10" i="13"/>
  <c r="AP12" i="13"/>
  <c r="AQ20" i="13"/>
  <c r="AR6" i="13"/>
  <c r="Q4" i="13"/>
  <c r="S10" i="13" s="1"/>
  <c r="N9" i="4"/>
  <c r="N7" i="4"/>
  <c r="M20" i="13"/>
  <c r="N18" i="13"/>
  <c r="N16" i="13"/>
  <c r="Z14" i="13"/>
  <c r="N8" i="13"/>
  <c r="Z20" i="13"/>
  <c r="N12" i="13"/>
  <c r="M16" i="13"/>
  <c r="T20" i="4"/>
  <c r="F35" i="4"/>
  <c r="AQ14" i="4"/>
  <c r="AP14" i="4"/>
  <c r="AR15" i="4" s="1"/>
  <c r="AR10" i="4"/>
  <c r="AQ10" i="4"/>
  <c r="AP16" i="4"/>
  <c r="AR17" i="4" s="1"/>
  <c r="E29" i="4"/>
  <c r="F29" i="4"/>
  <c r="AQ20" i="4"/>
  <c r="AQ8" i="4"/>
  <c r="AR9" i="4" s="1"/>
  <c r="T14" i="4"/>
  <c r="AR12" i="4"/>
  <c r="AQ12" i="4"/>
  <c r="AR18" i="4"/>
  <c r="F33" i="4"/>
  <c r="T12" i="4"/>
  <c r="E28" i="4"/>
  <c r="J28" i="4" s="1"/>
  <c r="AQ6" i="4"/>
  <c r="AP20" i="4"/>
  <c r="AR21" i="4" s="1"/>
  <c r="AR16" i="4"/>
  <c r="AR8" i="4"/>
  <c r="X18" i="13"/>
  <c r="Z19" i="13" s="1"/>
  <c r="Z16" i="13"/>
  <c r="X16" i="13"/>
  <c r="Z17" i="13" s="1"/>
  <c r="X6" i="13"/>
  <c r="Y8" i="13"/>
  <c r="Y6" i="13"/>
  <c r="X20" i="13"/>
  <c r="Z21" i="13" s="1"/>
  <c r="X12" i="13"/>
  <c r="Z13" i="13" s="1"/>
  <c r="Y14" i="13"/>
  <c r="Y10" i="13"/>
  <c r="X8" i="13"/>
  <c r="Y20" i="13"/>
  <c r="X10" i="13"/>
  <c r="Z11" i="13" s="1"/>
  <c r="X14" i="13"/>
  <c r="Z15" i="13" s="1"/>
  <c r="Z10" i="13"/>
  <c r="Y18" i="13"/>
  <c r="Z18" i="13"/>
  <c r="Z8" i="13"/>
  <c r="Y12" i="13"/>
  <c r="L10" i="13"/>
  <c r="L20" i="13"/>
  <c r="N21" i="13" s="1"/>
  <c r="L14" i="13"/>
  <c r="L6" i="13"/>
  <c r="M6" i="13"/>
  <c r="M14" i="13"/>
  <c r="L8" i="13"/>
  <c r="N9" i="13" s="1"/>
  <c r="L18" i="13"/>
  <c r="N19" i="13" s="1"/>
  <c r="M18" i="13"/>
  <c r="N20" i="13"/>
  <c r="N6" i="13"/>
  <c r="M12" i="13"/>
  <c r="L16" i="13"/>
  <c r="N17" i="13" s="1"/>
  <c r="L12" i="13"/>
  <c r="Z6" i="13"/>
  <c r="Z12" i="13"/>
  <c r="N14" i="13"/>
  <c r="T17" i="4"/>
  <c r="T16" i="4"/>
  <c r="C33" i="4"/>
  <c r="E33" i="4" s="1"/>
  <c r="AF17" i="4"/>
  <c r="AF15" i="4"/>
  <c r="C32" i="4"/>
  <c r="E32" i="4" s="1"/>
  <c r="J31" i="4"/>
  <c r="H31" i="4"/>
  <c r="J34" i="4"/>
  <c r="H34" i="4"/>
  <c r="AF21" i="4"/>
  <c r="C35" i="4"/>
  <c r="E35" i="4" s="1"/>
  <c r="M10" i="13"/>
  <c r="K10" i="13"/>
  <c r="N10" i="13" s="1"/>
  <c r="K11" i="13"/>
  <c r="AF11" i="4"/>
  <c r="C30" i="4"/>
  <c r="E30" i="4" s="1"/>
  <c r="S16" i="13" l="1"/>
  <c r="D45" i="13" s="1"/>
  <c r="F45" i="13" s="1"/>
  <c r="H29" i="4"/>
  <c r="J29" i="4"/>
  <c r="R20" i="13"/>
  <c r="T21" i="13" s="1"/>
  <c r="R6" i="13"/>
  <c r="C40" i="13" s="1"/>
  <c r="E40" i="13" s="1"/>
  <c r="R16" i="13"/>
  <c r="T16" i="13" s="1"/>
  <c r="T8" i="13"/>
  <c r="Z9" i="13"/>
  <c r="N7" i="13"/>
  <c r="Z7" i="13"/>
  <c r="AR11" i="13"/>
  <c r="S6" i="13"/>
  <c r="D40" i="13" s="1"/>
  <c r="F40" i="13" s="1"/>
  <c r="R12" i="13"/>
  <c r="C43" i="13" s="1"/>
  <c r="E43" i="13" s="1"/>
  <c r="T6" i="13"/>
  <c r="S14" i="13"/>
  <c r="D44" i="13" s="1"/>
  <c r="F44" i="13" s="1"/>
  <c r="R18" i="13"/>
  <c r="T18" i="13" s="1"/>
  <c r="R10" i="13"/>
  <c r="T11" i="13" s="1"/>
  <c r="S8" i="13"/>
  <c r="S20" i="13"/>
  <c r="R14" i="13"/>
  <c r="C47" i="13" s="1"/>
  <c r="E47" i="13" s="1"/>
  <c r="S12" i="13"/>
  <c r="D43" i="13" s="1"/>
  <c r="F43" i="13" s="1"/>
  <c r="T10" i="13"/>
  <c r="R8" i="13"/>
  <c r="C41" i="13" s="1"/>
  <c r="E41" i="13" s="1"/>
  <c r="S18" i="13"/>
  <c r="D47" i="13" s="1"/>
  <c r="F47" i="13" s="1"/>
  <c r="D42" i="13"/>
  <c r="F42" i="13" s="1"/>
  <c r="H28" i="4"/>
  <c r="N13" i="13"/>
  <c r="N15" i="13"/>
  <c r="C46" i="13"/>
  <c r="E46" i="13" s="1"/>
  <c r="N11" i="13"/>
  <c r="J35" i="4"/>
  <c r="H35" i="4"/>
  <c r="J32" i="4"/>
  <c r="H32" i="4"/>
  <c r="J30" i="4"/>
  <c r="H30" i="4"/>
  <c r="J33" i="4"/>
  <c r="H33" i="4"/>
  <c r="T15" i="13" l="1"/>
  <c r="T9" i="13"/>
  <c r="D46" i="13"/>
  <c r="F46" i="13" s="1"/>
  <c r="C42" i="13"/>
  <c r="E42" i="13" s="1"/>
  <c r="J42" i="13" s="1"/>
  <c r="C45" i="13"/>
  <c r="E45" i="13" s="1"/>
  <c r="H45" i="13" s="1"/>
  <c r="T17" i="13"/>
  <c r="T20" i="13"/>
  <c r="D41" i="13"/>
  <c r="F41" i="13" s="1"/>
  <c r="H41" i="13" s="1"/>
  <c r="T7" i="13"/>
  <c r="C44" i="13"/>
  <c r="E44" i="13" s="1"/>
  <c r="J44" i="13" s="1"/>
  <c r="T12" i="13"/>
  <c r="T13" i="13"/>
  <c r="T19" i="13"/>
  <c r="T14" i="13"/>
  <c r="J43" i="13"/>
  <c r="H43" i="13"/>
  <c r="J45" i="13"/>
  <c r="J46" i="13"/>
  <c r="H46" i="13"/>
  <c r="J40" i="13"/>
  <c r="H40" i="13"/>
  <c r="H47" i="13"/>
  <c r="J47" i="13"/>
  <c r="J41" i="13" l="1"/>
  <c r="H44" i="13"/>
  <c r="H42" i="13"/>
</calcChain>
</file>

<file path=xl/comments1.xml><?xml version="1.0" encoding="utf-8"?>
<comments xmlns="http://schemas.openxmlformats.org/spreadsheetml/2006/main">
  <authors>
    <author>N.T.O.M. Dierichs</author>
  </authors>
  <commentList>
    <comment ref="B4" authorId="0" shapeId="0">
      <text>
        <r>
          <rPr>
            <b/>
            <sz val="9"/>
            <color indexed="81"/>
            <rFont val="Tahoma"/>
            <family val="2"/>
          </rPr>
          <t>N.T.O.M. Dierichs:</t>
        </r>
        <r>
          <rPr>
            <sz val="9"/>
            <color indexed="81"/>
            <rFont val="Tahoma"/>
            <family val="2"/>
          </rPr>
          <t xml:space="preserve">
4x Tx + 2x controle Tx
Maak voor 10 per tracermix (T3/T4)</t>
        </r>
      </text>
    </comment>
  </commentList>
</comments>
</file>

<file path=xl/comments2.xml><?xml version="1.0" encoding="utf-8"?>
<comments xmlns="http://schemas.openxmlformats.org/spreadsheetml/2006/main">
  <authors>
    <author>N.T.O.M. Dierichs</author>
  </authors>
  <commentList>
    <comment ref="E26" authorId="0" shapeId="0">
      <text>
        <r>
          <rPr>
            <b/>
            <sz val="9"/>
            <color indexed="81"/>
            <rFont val="Tahoma"/>
            <family val="2"/>
          </rPr>
          <t>N.T.O.M. Dierichs:</t>
        </r>
        <r>
          <rPr>
            <sz val="9"/>
            <color indexed="81"/>
            <rFont val="Tahoma"/>
            <family val="2"/>
          </rPr>
          <t xml:space="preserve">
let op! Moet (nu nog aanpassen) *2000 ipv * 1000 want je voegt 50 ul sample toe, niet 100 (100 is totaal volume)</t>
        </r>
      </text>
    </comment>
  </commentList>
</comments>
</file>

<file path=xl/comments3.xml><?xml version="1.0" encoding="utf-8"?>
<comments xmlns="http://schemas.openxmlformats.org/spreadsheetml/2006/main">
  <authors>
    <author>N.T.O.M. Dierichs</author>
  </authors>
  <commentList>
    <comment ref="E38" authorId="0" shapeId="0">
      <text>
        <r>
          <rPr>
            <b/>
            <sz val="9"/>
            <color indexed="81"/>
            <rFont val="Tahoma"/>
            <family val="2"/>
          </rPr>
          <t>N.T.O.M. Dierichs:</t>
        </r>
        <r>
          <rPr>
            <sz val="9"/>
            <color indexed="81"/>
            <rFont val="Tahoma"/>
            <family val="2"/>
          </rPr>
          <t xml:space="preserve">
let op! Moet (nu nog aanpassen) *2000 ipv * 1000 want je voegt 50 ul sample toe, niet 100 (100 is totaal volume)</t>
        </r>
      </text>
    </comment>
  </commentList>
</comments>
</file>

<file path=xl/sharedStrings.xml><?xml version="1.0" encoding="utf-8"?>
<sst xmlns="http://schemas.openxmlformats.org/spreadsheetml/2006/main" count="309" uniqueCount="192">
  <si>
    <t>sample</t>
  </si>
  <si>
    <t>dilution</t>
  </si>
  <si>
    <t>protein concentration mg/ml</t>
  </si>
  <si>
    <t>%Ia</t>
  </si>
  <si>
    <t>%Ib</t>
  </si>
  <si>
    <t>%Iav</t>
  </si>
  <si>
    <t>%T1a</t>
  </si>
  <si>
    <t>%T1b</t>
  </si>
  <si>
    <t>%T1av</t>
  </si>
  <si>
    <t>%T2a</t>
  </si>
  <si>
    <t>%T2b</t>
  </si>
  <si>
    <t>%T2av</t>
  </si>
  <si>
    <t>%T3a</t>
  </si>
  <si>
    <t>%T3b</t>
  </si>
  <si>
    <t>%T3av</t>
  </si>
  <si>
    <t>%rT3a</t>
  </si>
  <si>
    <t>%rT3b</t>
  </si>
  <si>
    <t>%rT3av</t>
  </si>
  <si>
    <t>%T4a</t>
  </si>
  <si>
    <t>%T4b</t>
  </si>
  <si>
    <t>%T4av</t>
  </si>
  <si>
    <t>M</t>
  </si>
  <si>
    <t>A</t>
  </si>
  <si>
    <t>B</t>
  </si>
  <si>
    <t>F</t>
  </si>
  <si>
    <t>Samples dilution 1:5 --&gt; 2 wells in 300µl phosphate buffer</t>
  </si>
  <si>
    <t>Bradford plate readout</t>
  </si>
  <si>
    <t>Standard curve</t>
  </si>
  <si>
    <t>mg/ml BSA</t>
  </si>
  <si>
    <t>Average</t>
  </si>
  <si>
    <t>Samples have to fit in curve, if not dilute them</t>
  </si>
  <si>
    <t>Protein concentration in sample</t>
  </si>
  <si>
    <t>Sample</t>
  </si>
  <si>
    <t>Conc. (mg/ml)</t>
  </si>
  <si>
    <t>Final concentration</t>
  </si>
  <si>
    <t>In plate = 250µl Bradford + 5µl Sample</t>
  </si>
  <si>
    <t>Tracermix</t>
  </si>
  <si>
    <t>Bradford mix</t>
  </si>
  <si>
    <t>Basis:</t>
  </si>
  <si>
    <t xml:space="preserve">50 mmol/L Phosphate buffer + 1 mM EDTA + 10 mM DTT </t>
  </si>
  <si>
    <t>Number of samples:</t>
  </si>
  <si>
    <t>CPM per sample:</t>
  </si>
  <si>
    <t>Tracer activity:</t>
  </si>
  <si>
    <t>CPM</t>
  </si>
  <si>
    <t>CPM/µl</t>
  </si>
  <si>
    <t>Total of CPM needed:</t>
  </si>
  <si>
    <t>µl</t>
  </si>
  <si>
    <t>Volume of tracermix:</t>
  </si>
  <si>
    <t>General:</t>
  </si>
  <si>
    <t xml:space="preserve">--&gt; Add 10% more = </t>
  </si>
  <si>
    <t>Total volume:</t>
  </si>
  <si>
    <t>Add to mix:</t>
  </si>
  <si>
    <t>Cold TH:</t>
  </si>
  <si>
    <t>Stock:</t>
  </si>
  <si>
    <t>Final:</t>
  </si>
  <si>
    <t>(Original stock is 10µM, diluted 10 times for easier pipetting)</t>
  </si>
  <si>
    <t>Final of tracermix:</t>
  </si>
  <si>
    <t>(Final in sample = 1nM when 50µl tracermix is added to 50µl sample)</t>
  </si>
  <si>
    <t>DTT</t>
  </si>
  <si>
    <t>Samples from curve:</t>
  </si>
  <si>
    <t>Samples from assay:</t>
  </si>
  <si>
    <t>Total:</t>
  </si>
  <si>
    <t xml:space="preserve">Make extra mix: </t>
  </si>
  <si>
    <t>Total volume needed:</t>
  </si>
  <si>
    <t>ml</t>
  </si>
  <si>
    <t>Water:</t>
  </si>
  <si>
    <t>Reagens (5X conc):</t>
  </si>
  <si>
    <t>3. Pipette 5uL of your samples and standards in a 96 well ELISA plate.</t>
  </si>
  <si>
    <t>5. Calculate the amount of protein (manually standard curve and all samples minus blanc) remembering to correct your samples for dilution giving amount of protein in mg/ml</t>
  </si>
  <si>
    <t>Proceed according protocol:</t>
  </si>
  <si>
    <t xml:space="preserve">2. Dilute 5X Biorad protein acid to a 1X solution in water. </t>
  </si>
  <si>
    <t>1. Make standard curve*: 1 - 0,8 - 0,6 - 0,4 - 0,2 - 0 mg/ml BSA.</t>
  </si>
  <si>
    <t>4. Add 250µl Bradford reagens, wait 3-6 minutes and read the plate at 598nm.</t>
  </si>
  <si>
    <t xml:space="preserve">* This can be done before hand and be alliquoted, freezing and thawing causes degradation of the protein by NaOH. </t>
  </si>
  <si>
    <t xml:space="preserve">   Make curve in 0.1M NaOH, PBS or H2O but it should always be similar to the liquid your sample is in.</t>
  </si>
  <si>
    <t>Dilution when scraping:</t>
  </si>
  <si>
    <t>(if samples are higher then the curve)</t>
  </si>
  <si>
    <t>Total dilution:</t>
  </si>
  <si>
    <t>Volume (incl. wash):</t>
  </si>
  <si>
    <t>mM</t>
  </si>
  <si>
    <t>Add cold 1:500 =</t>
  </si>
  <si>
    <t>Add DTT 1:100 =</t>
  </si>
  <si>
    <t>µM</t>
  </si>
  <si>
    <t>nM</t>
  </si>
  <si>
    <t>Dilution for bradford:</t>
  </si>
  <si>
    <t>%Inet A</t>
  </si>
  <si>
    <t>%Inet B</t>
  </si>
  <si>
    <t>%Inet avg</t>
  </si>
  <si>
    <t>%T1net A</t>
  </si>
  <si>
    <t>%T1net B</t>
  </si>
  <si>
    <t>%T1net avg</t>
  </si>
  <si>
    <t>%T2net A</t>
  </si>
  <si>
    <t>%T2net B</t>
  </si>
  <si>
    <t>%T2net avg</t>
  </si>
  <si>
    <t>%T3net A</t>
  </si>
  <si>
    <t>%T3net B</t>
  </si>
  <si>
    <t>%T3net avg</t>
  </si>
  <si>
    <t>%rT3net A</t>
  </si>
  <si>
    <t>%rT3net B</t>
  </si>
  <si>
    <t>%rT3net avg</t>
  </si>
  <si>
    <t>%T4net A</t>
  </si>
  <si>
    <t>%T4net B</t>
  </si>
  <si>
    <t>%T4net avg</t>
  </si>
  <si>
    <t>D3 (%T1+T2net) A</t>
  </si>
  <si>
    <t>D3 (%T1+T2net) B</t>
  </si>
  <si>
    <t>fmol/min/mg A</t>
  </si>
  <si>
    <t>fmol/min/mg B</t>
  </si>
  <si>
    <t>fmol/min/mg average</t>
  </si>
  <si>
    <t>SD</t>
  </si>
  <si>
    <t>Tracer</t>
  </si>
  <si>
    <t>Time incubation (min)</t>
  </si>
  <si>
    <t>Formula</t>
  </si>
  <si>
    <t>We add 1 nM of cold T3</t>
  </si>
  <si>
    <t>Name</t>
  </si>
  <si>
    <t>I (1.3)</t>
  </si>
  <si>
    <t>T1 (2.9)</t>
  </si>
  <si>
    <t>3,3'-T2 (5.7)</t>
  </si>
  <si>
    <t>T3 (8.1)</t>
  </si>
  <si>
    <t>rT3 (8.9)</t>
  </si>
  <si>
    <t>T4 (11.5)</t>
  </si>
  <si>
    <t>Som</t>
  </si>
  <si>
    <t>%I</t>
  </si>
  <si>
    <t>%T1</t>
  </si>
  <si>
    <t>%T2</t>
  </si>
  <si>
    <t>%T3</t>
  </si>
  <si>
    <t>%rT3</t>
  </si>
  <si>
    <t>%T4</t>
  </si>
  <si>
    <t>IOP</t>
  </si>
  <si>
    <t>Volume of tracer mix with IOP</t>
  </si>
  <si>
    <t xml:space="preserve">Stock </t>
  </si>
  <si>
    <t>Add to mix</t>
  </si>
  <si>
    <t>1 nM = 10^6 fmol/L</t>
  </si>
  <si>
    <t>T3 Tracer A</t>
  </si>
  <si>
    <t>08/06/2021 NPC WTC1c</t>
  </si>
  <si>
    <t>T3 Tracer B</t>
  </si>
  <si>
    <t>Radioactive tracer T3:</t>
  </si>
  <si>
    <t>Radioactive tracer t4:</t>
  </si>
  <si>
    <t>Per tracermix!</t>
  </si>
  <si>
    <t xml:space="preserve"> </t>
  </si>
  <si>
    <t xml:space="preserve">Blanco </t>
  </si>
  <si>
    <t>buffer (samples) en water (reagens)</t>
  </si>
  <si>
    <t>concentration curve</t>
  </si>
  <si>
    <t>nu 2, 1.5, 1 0.75, 0.5, 0.25, 0.125, 0 mg/ml</t>
  </si>
  <si>
    <t>in water (want matcht beter met de phosphate buffer)</t>
  </si>
  <si>
    <t>C</t>
  </si>
  <si>
    <t>D</t>
  </si>
  <si>
    <t>E</t>
  </si>
  <si>
    <t>G</t>
  </si>
  <si>
    <t>H</t>
  </si>
  <si>
    <t>BSA 2 mg/mL</t>
  </si>
  <si>
    <t>BSA 1 mg/mL</t>
  </si>
  <si>
    <t>BSA 0.75 mg/mL</t>
  </si>
  <si>
    <t>BSA 0.5 mg/mL</t>
  </si>
  <si>
    <t>BSA 0.25 mg/mL</t>
  </si>
  <si>
    <t>BSA 0.125 mg/mL</t>
  </si>
  <si>
    <t>BSA 0 mg/mL</t>
  </si>
  <si>
    <t>BSA 1.5 mg/mL</t>
  </si>
  <si>
    <t>de T3 1 &amp; 2 zijn de verschllende wellen waar dan de metabolisme assays op zijn gebaseerd</t>
  </si>
  <si>
    <t>T3 1 -1 &amp;-2 zijn duplo uit de epp die gesonificeerd zijn uit een well</t>
  </si>
  <si>
    <t>(well)</t>
  </si>
  <si>
    <t>(duplo bradford uit een well)</t>
  </si>
  <si>
    <t xml:space="preserve">Phosphate buffer + EDTA + DTT </t>
  </si>
  <si>
    <t>average</t>
  </si>
  <si>
    <t>not included</t>
  </si>
  <si>
    <t>Dit niet gebruiken!</t>
  </si>
  <si>
    <t>Average - blanco</t>
  </si>
  <si>
    <t>T4 Tracer A</t>
  </si>
  <si>
    <t>T4 Tracer B</t>
  </si>
  <si>
    <t>D2 (%T3 net) B</t>
  </si>
  <si>
    <t>D2 (%T3 net) A</t>
  </si>
  <si>
    <t>t3/t4</t>
  </si>
  <si>
    <t>slope</t>
  </si>
  <si>
    <t>intercept</t>
  </si>
  <si>
    <t>SK T3 1-1</t>
  </si>
  <si>
    <t>SK T3 2-1</t>
  </si>
  <si>
    <t>SK T4 1-1</t>
  </si>
  <si>
    <t>SK T4 2-1</t>
  </si>
  <si>
    <t>SK T3 1-2</t>
  </si>
  <si>
    <t>SK T3 2-2</t>
  </si>
  <si>
    <t>SK T4 1-2</t>
  </si>
  <si>
    <t>SK T4 2-2</t>
  </si>
  <si>
    <t>SK T3 1</t>
  </si>
  <si>
    <t>SK T3 2</t>
  </si>
  <si>
    <t>SK T4 1</t>
  </si>
  <si>
    <t>SK T4 2</t>
  </si>
  <si>
    <t>SK 1-1</t>
  </si>
  <si>
    <t>SK1-2</t>
  </si>
  <si>
    <t>SK 2-1</t>
  </si>
  <si>
    <t>SK 2-2</t>
  </si>
  <si>
    <t>SKNAS 1</t>
  </si>
  <si>
    <t>SKNAS 2</t>
  </si>
  <si>
    <t>SKNAS1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</si>
</sst>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000"/>
    <numFmt numFmtId="166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14"/>
      <color theme="1"/>
      <name val="Calibri"/>
      <family val="2"/>
      <scheme val="minor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3" fillId="0" borderId="0"/>
    <xf numFmtId="0" fontId="7" fillId="0" borderId="0"/>
  </cellStyleXfs>
  <cellXfs count="159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2" xfId="0" applyBorder="1"/>
    <xf numFmtId="0" fontId="0" fillId="0" borderId="2" xfId="0" applyBorder="1" applyAlignment="1">
      <alignment horizontal="right"/>
    </xf>
    <xf numFmtId="0" fontId="0" fillId="0" borderId="0" xfId="0" applyBorder="1"/>
    <xf numFmtId="0" fontId="1" fillId="2" borderId="0" xfId="0" applyFont="1" applyFill="1"/>
    <xf numFmtId="0" fontId="0" fillId="3" borderId="0" xfId="0" applyFill="1"/>
    <xf numFmtId="0" fontId="0" fillId="0" borderId="0" xfId="0" applyFill="1"/>
    <xf numFmtId="1" fontId="0" fillId="0" borderId="0" xfId="0" applyNumberFormat="1"/>
    <xf numFmtId="0" fontId="6" fillId="4" borderId="18" xfId="0" applyFont="1" applyFill="1" applyBorder="1"/>
    <xf numFmtId="0" fontId="0" fillId="4" borderId="18" xfId="0" applyFill="1" applyBorder="1"/>
    <xf numFmtId="0" fontId="0" fillId="0" borderId="19" xfId="0" applyBorder="1"/>
    <xf numFmtId="0" fontId="1" fillId="5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9" borderId="8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9" borderId="7" xfId="0" applyFont="1" applyFill="1" applyBorder="1" applyAlignment="1">
      <alignment horizontal="center"/>
    </xf>
    <xf numFmtId="0" fontId="0" fillId="0" borderId="20" xfId="0" applyBorder="1"/>
    <xf numFmtId="12" fontId="0" fillId="0" borderId="0" xfId="0" applyNumberFormat="1" applyAlignment="1">
      <alignment horizontal="right"/>
    </xf>
    <xf numFmtId="164" fontId="0" fillId="5" borderId="24" xfId="0" applyNumberFormat="1" applyFill="1" applyBorder="1"/>
    <xf numFmtId="0" fontId="0" fillId="0" borderId="0" xfId="0" applyAlignment="1">
      <alignment horizontal="center"/>
    </xf>
    <xf numFmtId="164" fontId="0" fillId="5" borderId="11" xfId="0" applyNumberFormat="1" applyFill="1" applyBorder="1"/>
    <xf numFmtId="164" fontId="0" fillId="5" borderId="12" xfId="0" applyNumberFormat="1" applyFill="1" applyBorder="1"/>
    <xf numFmtId="164" fontId="0" fillId="4" borderId="12" xfId="0" applyNumberFormat="1" applyFill="1" applyBorder="1"/>
    <xf numFmtId="164" fontId="0" fillId="6" borderId="12" xfId="0" applyNumberFormat="1" applyFill="1" applyBorder="1"/>
    <xf numFmtId="164" fontId="0" fillId="7" borderId="12" xfId="0" applyNumberFormat="1" applyFill="1" applyBorder="1"/>
    <xf numFmtId="164" fontId="0" fillId="8" borderId="12" xfId="0" applyNumberFormat="1" applyFill="1" applyBorder="1"/>
    <xf numFmtId="164" fontId="0" fillId="9" borderId="12" xfId="0" applyNumberFormat="1" applyFill="1" applyBorder="1"/>
    <xf numFmtId="164" fontId="0" fillId="9" borderId="13" xfId="0" applyNumberFormat="1" applyFill="1" applyBorder="1"/>
    <xf numFmtId="164" fontId="0" fillId="10" borderId="21" xfId="0" applyNumberFormat="1" applyFill="1" applyBorder="1"/>
    <xf numFmtId="164" fontId="0" fillId="10" borderId="22" xfId="0" applyNumberFormat="1" applyFill="1" applyBorder="1"/>
    <xf numFmtId="164" fontId="0" fillId="10" borderId="25" xfId="0" applyNumberFormat="1" applyFill="1" applyBorder="1"/>
    <xf numFmtId="164" fontId="0" fillId="10" borderId="26" xfId="0" applyNumberFormat="1" applyFill="1" applyBorder="1"/>
    <xf numFmtId="164" fontId="0" fillId="11" borderId="22" xfId="0" applyNumberFormat="1" applyFill="1" applyBorder="1"/>
    <xf numFmtId="164" fontId="0" fillId="11" borderId="26" xfId="0" applyNumberFormat="1" applyFill="1" applyBorder="1"/>
    <xf numFmtId="164" fontId="0" fillId="12" borderId="22" xfId="0" applyNumberFormat="1" applyFill="1" applyBorder="1"/>
    <xf numFmtId="164" fontId="0" fillId="12" borderId="26" xfId="0" applyNumberFormat="1" applyFill="1" applyBorder="1"/>
    <xf numFmtId="164" fontId="0" fillId="13" borderId="22" xfId="0" applyNumberFormat="1" applyFill="1" applyBorder="1"/>
    <xf numFmtId="164" fontId="0" fillId="13" borderId="26" xfId="0" applyNumberFormat="1" applyFill="1" applyBorder="1"/>
    <xf numFmtId="164" fontId="0" fillId="14" borderId="22" xfId="0" applyNumberFormat="1" applyFill="1" applyBorder="1"/>
    <xf numFmtId="164" fontId="0" fillId="14" borderId="26" xfId="0" applyNumberFormat="1" applyFill="1" applyBorder="1"/>
    <xf numFmtId="164" fontId="0" fillId="15" borderId="22" xfId="0" applyNumberFormat="1" applyFill="1" applyBorder="1"/>
    <xf numFmtId="164" fontId="0" fillId="15" borderId="23" xfId="0" applyNumberFormat="1" applyFill="1" applyBorder="1"/>
    <xf numFmtId="164" fontId="0" fillId="15" borderId="26" xfId="0" applyNumberFormat="1" applyFill="1" applyBorder="1"/>
    <xf numFmtId="164" fontId="0" fillId="15" borderId="27" xfId="0" applyNumberFormat="1" applyFill="1" applyBorder="1"/>
    <xf numFmtId="0" fontId="0" fillId="0" borderId="18" xfId="0" applyBorder="1"/>
    <xf numFmtId="0" fontId="0" fillId="0" borderId="18" xfId="0" applyBorder="1" applyAlignment="1">
      <alignment horizontal="right"/>
    </xf>
    <xf numFmtId="0" fontId="0" fillId="0" borderId="0" xfId="0"/>
    <xf numFmtId="0" fontId="0" fillId="0" borderId="0" xfId="0" applyFill="1" applyBorder="1"/>
    <xf numFmtId="0" fontId="0" fillId="16" borderId="31" xfId="0" applyFill="1" applyBorder="1"/>
    <xf numFmtId="164" fontId="0" fillId="0" borderId="15" xfId="0" applyNumberFormat="1" applyBorder="1"/>
    <xf numFmtId="0" fontId="0" fillId="0" borderId="0" xfId="0" applyBorder="1"/>
    <xf numFmtId="164" fontId="0" fillId="0" borderId="0" xfId="0" applyNumberFormat="1" applyBorder="1"/>
    <xf numFmtId="0" fontId="0" fillId="0" borderId="0" xfId="0" applyAlignment="1">
      <alignment horizontal="center"/>
    </xf>
    <xf numFmtId="164" fontId="0" fillId="5" borderId="15" xfId="0" applyNumberFormat="1" applyFill="1" applyBorder="1"/>
    <xf numFmtId="164" fontId="0" fillId="4" borderId="15" xfId="0" applyNumberFormat="1" applyFill="1" applyBorder="1"/>
    <xf numFmtId="164" fontId="0" fillId="6" borderId="15" xfId="0" applyNumberFormat="1" applyFill="1" applyBorder="1"/>
    <xf numFmtId="164" fontId="0" fillId="7" borderId="15" xfId="0" applyNumberFormat="1" applyFill="1" applyBorder="1"/>
    <xf numFmtId="164" fontId="0" fillId="8" borderId="15" xfId="0" applyNumberFormat="1" applyFill="1" applyBorder="1"/>
    <xf numFmtId="164" fontId="0" fillId="9" borderId="15" xfId="0" applyNumberFormat="1" applyFill="1" applyBorder="1"/>
    <xf numFmtId="164" fontId="0" fillId="9" borderId="14" xfId="0" applyNumberFormat="1" applyFill="1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7" xfId="0" applyBorder="1" applyAlignment="1">
      <alignment horizontal="center"/>
    </xf>
    <xf numFmtId="165" fontId="0" fillId="0" borderId="15" xfId="0" applyNumberFormat="1" applyBorder="1"/>
    <xf numFmtId="0" fontId="1" fillId="17" borderId="0" xfId="0" applyFont="1" applyFill="1" applyBorder="1" applyAlignment="1">
      <alignment horizontal="center"/>
    </xf>
    <xf numFmtId="164" fontId="0" fillId="0" borderId="0" xfId="0" applyNumberFormat="1" applyFill="1" applyBorder="1"/>
    <xf numFmtId="165" fontId="0" fillId="0" borderId="0" xfId="0" applyNumberFormat="1" applyBorder="1"/>
    <xf numFmtId="164" fontId="0" fillId="0" borderId="0" xfId="0" applyNumberFormat="1"/>
    <xf numFmtId="1" fontId="0" fillId="0" borderId="0" xfId="0" applyNumberFormat="1" applyFill="1" applyBorder="1"/>
    <xf numFmtId="0" fontId="0" fillId="0" borderId="0" xfId="0" applyBorder="1" applyAlignment="1">
      <alignment horizontal="center" vertical="center"/>
    </xf>
    <xf numFmtId="0" fontId="4" fillId="0" borderId="0" xfId="0" applyFont="1" applyBorder="1"/>
    <xf numFmtId="0" fontId="0" fillId="0" borderId="0" xfId="0" applyFill="1" applyBorder="1" applyAlignment="1">
      <alignment vertical="center"/>
    </xf>
    <xf numFmtId="13" fontId="0" fillId="0" borderId="0" xfId="0" applyNumberFormat="1" applyFill="1" applyBorder="1" applyAlignment="1">
      <alignment vertical="center"/>
    </xf>
    <xf numFmtId="164" fontId="0" fillId="0" borderId="0" xfId="0" applyNumberFormat="1" applyFill="1" applyBorder="1" applyAlignment="1">
      <alignment vertical="center"/>
    </xf>
    <xf numFmtId="164" fontId="0" fillId="0" borderId="0" xfId="0" applyNumberFormat="1" applyFont="1" applyFill="1" applyBorder="1"/>
    <xf numFmtId="0" fontId="0" fillId="0" borderId="0" xfId="0" applyFill="1" applyBorder="1" applyAlignment="1">
      <alignment horizontal="center"/>
    </xf>
    <xf numFmtId="164" fontId="1" fillId="0" borderId="0" xfId="0" applyNumberFormat="1" applyFont="1" applyFill="1" applyBorder="1"/>
    <xf numFmtId="165" fontId="0" fillId="0" borderId="0" xfId="0" applyNumberFormat="1" applyBorder="1" applyAlignment="1"/>
    <xf numFmtId="13" fontId="0" fillId="0" borderId="0" xfId="0" applyNumberFormat="1" applyBorder="1" applyAlignment="1">
      <alignment horizontal="center" vertical="center"/>
    </xf>
    <xf numFmtId="13" fontId="0" fillId="0" borderId="18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13" fontId="0" fillId="0" borderId="19" xfId="0" applyNumberFormat="1" applyBorder="1" applyAlignment="1">
      <alignment horizontal="center" vertical="center"/>
    </xf>
    <xf numFmtId="0" fontId="0" fillId="0" borderId="19" xfId="0" applyFill="1" applyBorder="1" applyAlignment="1">
      <alignment vertical="center"/>
    </xf>
    <xf numFmtId="13" fontId="0" fillId="0" borderId="19" xfId="0" applyNumberFormat="1" applyFill="1" applyBorder="1" applyAlignment="1">
      <alignment vertical="center"/>
    </xf>
    <xf numFmtId="0" fontId="0" fillId="2" borderId="0" xfId="0" applyFill="1"/>
    <xf numFmtId="166" fontId="0" fillId="2" borderId="0" xfId="0" applyNumberFormat="1" applyFill="1"/>
    <xf numFmtId="0" fontId="0" fillId="5" borderId="0" xfId="0" applyFill="1"/>
    <xf numFmtId="0" fontId="0" fillId="5" borderId="19" xfId="0" applyFill="1" applyBorder="1"/>
    <xf numFmtId="0" fontId="0" fillId="16" borderId="0" xfId="0" applyFill="1"/>
    <xf numFmtId="164" fontId="0" fillId="16" borderId="0" xfId="0" applyNumberFormat="1" applyFill="1"/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3" fontId="0" fillId="0" borderId="19" xfId="0" applyNumberFormat="1" applyBorder="1" applyAlignment="1">
      <alignment horizontal="center" vertical="center"/>
    </xf>
    <xf numFmtId="13" fontId="0" fillId="0" borderId="18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13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" fillId="18" borderId="0" xfId="0" applyFont="1" applyFill="1"/>
    <xf numFmtId="0" fontId="0" fillId="18" borderId="0" xfId="0" applyFill="1"/>
    <xf numFmtId="0" fontId="0" fillId="0" borderId="34" xfId="0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35" xfId="0" applyBorder="1" applyAlignment="1">
      <alignment horizontal="right"/>
    </xf>
    <xf numFmtId="0" fontId="0" fillId="0" borderId="36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37" xfId="0" applyBorder="1" applyAlignment="1">
      <alignment horizontal="right"/>
    </xf>
    <xf numFmtId="0" fontId="0" fillId="0" borderId="38" xfId="0" applyBorder="1" applyAlignment="1">
      <alignment horizontal="right"/>
    </xf>
    <xf numFmtId="0" fontId="0" fillId="0" borderId="39" xfId="0" applyBorder="1" applyAlignment="1">
      <alignment horizontal="right"/>
    </xf>
    <xf numFmtId="165" fontId="0" fillId="0" borderId="0" xfId="0" applyNumberFormat="1" applyFill="1" applyBorder="1" applyAlignment="1"/>
    <xf numFmtId="0" fontId="0" fillId="0" borderId="4" xfId="0" applyFill="1" applyBorder="1" applyAlignment="1">
      <alignment horizontal="center"/>
    </xf>
    <xf numFmtId="0" fontId="0" fillId="0" borderId="18" xfId="0" applyFill="1" applyBorder="1"/>
    <xf numFmtId="0" fontId="4" fillId="0" borderId="0" xfId="0" applyFont="1" applyFill="1" applyBorder="1"/>
    <xf numFmtId="14" fontId="0" fillId="4" borderId="18" xfId="0" applyNumberFormat="1" applyFill="1" applyBorder="1"/>
    <xf numFmtId="0" fontId="1" fillId="0" borderId="0" xfId="0" applyFont="1" applyFill="1"/>
    <xf numFmtId="0" fontId="0" fillId="0" borderId="0" xfId="0" applyFont="1" applyFill="1"/>
    <xf numFmtId="0" fontId="4" fillId="0" borderId="0" xfId="3" applyFont="1" applyFill="1"/>
    <xf numFmtId="0" fontId="5" fillId="0" borderId="0" xfId="0" applyFont="1" applyFill="1"/>
    <xf numFmtId="0" fontId="0" fillId="0" borderId="0" xfId="0" applyFont="1" applyFill="1" applyBorder="1"/>
    <xf numFmtId="0" fontId="10" fillId="0" borderId="0" xfId="0" applyFont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65" fontId="0" fillId="0" borderId="0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5" fontId="0" fillId="0" borderId="28" xfId="0" applyNumberFormat="1" applyBorder="1" applyAlignment="1">
      <alignment horizontal="center"/>
    </xf>
    <xf numFmtId="165" fontId="0" fillId="0" borderId="29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30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/>
    </xf>
    <xf numFmtId="13" fontId="0" fillId="0" borderId="19" xfId="0" applyNumberFormat="1" applyBorder="1" applyAlignment="1">
      <alignment horizontal="center" vertical="center"/>
    </xf>
    <xf numFmtId="13" fontId="0" fillId="0" borderId="18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3" fontId="0" fillId="0" borderId="0" xfId="0" applyNumberFormat="1" applyBorder="1" applyAlignment="1">
      <alignment horizontal="center" vertical="center"/>
    </xf>
    <xf numFmtId="165" fontId="0" fillId="0" borderId="28" xfId="0" applyNumberFormat="1" applyFill="1" applyBorder="1" applyAlignment="1">
      <alignment horizontal="center"/>
    </xf>
    <xf numFmtId="165" fontId="0" fillId="0" borderId="29" xfId="0" applyNumberFormat="1" applyFill="1" applyBorder="1" applyAlignment="1">
      <alignment horizontal="center"/>
    </xf>
    <xf numFmtId="165" fontId="0" fillId="0" borderId="32" xfId="0" applyNumberFormat="1" applyFill="1" applyBorder="1" applyAlignment="1">
      <alignment horizontal="center"/>
    </xf>
    <xf numFmtId="165" fontId="0" fillId="0" borderId="33" xfId="0" applyNumberFormat="1" applyFill="1" applyBorder="1" applyAlignment="1">
      <alignment horizontal="center"/>
    </xf>
    <xf numFmtId="164" fontId="0" fillId="0" borderId="19" xfId="0" applyNumberFormat="1" applyFill="1" applyBorder="1" applyAlignment="1">
      <alignment horizontal="center" vertical="center"/>
    </xf>
    <xf numFmtId="164" fontId="0" fillId="0" borderId="18" xfId="0" applyNumberFormat="1" applyFill="1" applyBorder="1" applyAlignment="1">
      <alignment horizontal="center" vertical="center"/>
    </xf>
  </cellXfs>
  <cellStyles count="5">
    <cellStyle name="Normal" xfId="0" builtinId="0"/>
    <cellStyle name="Normal 2" xfId="4"/>
    <cellStyle name="Standaard 2" xfId="1"/>
    <cellStyle name="Standaard 2 2" xfId="3"/>
    <cellStyle name="Standaard 2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BSA standard</a:t>
            </a:r>
            <a:r>
              <a:rPr lang="en-US" baseline="0"/>
              <a:t> curve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951327595678446"/>
                  <c:y val="-0.68400411973819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'Protein concentration'!$A$16:$A$20</c:f>
              <c:numCache>
                <c:formatCode>General</c:formatCode>
                <c:ptCount val="5"/>
                <c:pt idx="0">
                  <c:v>0.75</c:v>
                </c:pt>
                <c:pt idx="1">
                  <c:v>0.5</c:v>
                </c:pt>
                <c:pt idx="2">
                  <c:v>0.25</c:v>
                </c:pt>
                <c:pt idx="3">
                  <c:v>0.125</c:v>
                </c:pt>
                <c:pt idx="4">
                  <c:v>0</c:v>
                </c:pt>
              </c:numCache>
            </c:numRef>
          </c:xVal>
          <c:yVal>
            <c:numRef>
              <c:f>'Protein concentration'!$D$16:$D$20</c:f>
              <c:numCache>
                <c:formatCode>General</c:formatCode>
                <c:ptCount val="5"/>
                <c:pt idx="0">
                  <c:v>0.98899999999999988</c:v>
                </c:pt>
                <c:pt idx="1">
                  <c:v>0.77950000000000008</c:v>
                </c:pt>
                <c:pt idx="2">
                  <c:v>0.52849999999999997</c:v>
                </c:pt>
                <c:pt idx="3">
                  <c:v>0.46799999999999997</c:v>
                </c:pt>
                <c:pt idx="4">
                  <c:v>0.36299999999999999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4D-43FE-BDE5-327EE0FAD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853496"/>
        <c:axId val="536859072"/>
      </c:scatterChart>
      <c:valAx>
        <c:axId val="536853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Protein</a:t>
                </a:r>
                <a:r>
                  <a:rPr lang="en-US" baseline="0"/>
                  <a:t> (mg/ml)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859072"/>
        <c:crosses val="autoZero"/>
        <c:crossBetween val="midCat"/>
      </c:valAx>
      <c:valAx>
        <c:axId val="53685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Absorbance</a:t>
                </a:r>
                <a:r>
                  <a:rPr lang="en-US" baseline="0"/>
                  <a:t> at 598nm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853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476250</xdr:colOff>
      <xdr:row>43</xdr:row>
      <xdr:rowOff>47625</xdr:rowOff>
    </xdr:to>
    <xdr:pic>
      <xdr:nvPicPr>
        <xdr:cNvPr id="13" name="Afbeelding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962650" cy="8239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10</xdr:row>
      <xdr:rowOff>0</xdr:rowOff>
    </xdr:from>
    <xdr:to>
      <xdr:col>13</xdr:col>
      <xdr:colOff>438150</xdr:colOff>
      <xdr:row>21</xdr:row>
      <xdr:rowOff>161925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47625</xdr:colOff>
      <xdr:row>33</xdr:row>
      <xdr:rowOff>19050</xdr:rowOff>
    </xdr:from>
    <xdr:ext cx="3118353" cy="3662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261276D-E2A2-4CE5-A9DC-0234FB2B95DA}"/>
                </a:ext>
              </a:extLst>
            </xdr:cNvPr>
            <xdr:cNvSpPr txBox="1"/>
          </xdr:nvSpPr>
          <xdr:spPr>
            <a:xfrm>
              <a:off x="14561344" y="9258300"/>
              <a:ext cx="3118353" cy="366254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ca-ES" sz="1100" b="0" i="1">
                                <a:latin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ca-ES" sz="1100" b="0" i="1">
                                <a:latin typeface="Cambria Math" panose="02040503050406030204" pitchFamily="18" charset="0"/>
                              </a:rPr>
                              <m:t>6</m:t>
                            </m:r>
                          </m:sup>
                        </m:sSup>
                        <m:r>
                          <a:rPr lang="ca-ES" sz="1100" b="0" i="1">
                            <a:latin typeface="Cambria Math" panose="02040503050406030204" pitchFamily="18" charset="0"/>
                          </a:rPr>
                          <m:t>𝑓𝑚𝑜𝑙</m:t>
                        </m:r>
                      </m:num>
                      <m:den>
                        <m:r>
                          <a:rPr lang="ca-ES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den>
                    </m:f>
                    <m:r>
                      <a:rPr lang="en-GB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ca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  <m:r>
                          <a:rPr lang="ca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</m:t>
                        </m:r>
                      </m:num>
                      <m:den>
                        <m:sSup>
                          <m:sSupPr>
                            <m:ctrlPr>
                              <a:rPr lang="en-GB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ca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ca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6</m:t>
                            </m:r>
                          </m:sup>
                        </m:sSup>
                        <m:r>
                          <a:rPr lang="en-GB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  <m:r>
                          <a:rPr lang="ca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</m:t>
                        </m:r>
                      </m:den>
                    </m:f>
                    <m:r>
                      <a:rPr lang="en-GB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ca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100</m:t>
                    </m:r>
                    <m:r>
                      <a:rPr lang="ca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r>
                      <a:rPr lang="ca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𝐿</m:t>
                    </m:r>
                    <m:r>
                      <a:rPr lang="ca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ca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𝑠𝑎𝑚𝑝𝑙𝑒</m:t>
                    </m:r>
                    <m:r>
                      <a:rPr lang="ca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=100 </m:t>
                    </m:r>
                    <m:r>
                      <a:rPr lang="ca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𝑓𝑚𝑜𝑙</m:t>
                    </m:r>
                    <m:r>
                      <a:rPr lang="ca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ca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𝑇</m:t>
                    </m:r>
                    <m:r>
                      <a:rPr lang="ca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261276D-E2A2-4CE5-A9DC-0234FB2B95DA}"/>
                </a:ext>
              </a:extLst>
            </xdr:cNvPr>
            <xdr:cNvSpPr txBox="1"/>
          </xdr:nvSpPr>
          <xdr:spPr>
            <a:xfrm>
              <a:off x="14561344" y="9258300"/>
              <a:ext cx="3118353" cy="366254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(〖</a:t>
              </a:r>
              <a:r>
                <a:rPr lang="ca-ES" sz="1100" b="0" i="0">
                  <a:latin typeface="Cambria Math" panose="02040503050406030204" pitchFamily="18" charset="0"/>
                </a:rPr>
                <a:t>10</a:t>
              </a:r>
              <a:r>
                <a:rPr lang="en-GB" sz="1100" b="0" i="0">
                  <a:latin typeface="Cambria Math" panose="02040503050406030204" pitchFamily="18" charset="0"/>
                </a:rPr>
                <a:t>〗^</a:t>
              </a:r>
              <a:r>
                <a:rPr lang="ca-ES" sz="1100" b="0" i="0">
                  <a:latin typeface="Cambria Math" panose="02040503050406030204" pitchFamily="18" charset="0"/>
                </a:rPr>
                <a:t>6 𝑓𝑚𝑜𝑙</a:t>
              </a:r>
              <a:r>
                <a:rPr lang="en-GB" sz="1100" b="0" i="0">
                  <a:latin typeface="Cambria Math" panose="02040503050406030204" pitchFamily="18" charset="0"/>
                </a:rPr>
                <a:t>)/</a:t>
              </a:r>
              <a:r>
                <a:rPr lang="ca-ES" sz="1100" b="0" i="0">
                  <a:latin typeface="Cambria Math" panose="02040503050406030204" pitchFamily="18" charset="0"/>
                </a:rPr>
                <a:t>𝐿</a:t>
              </a:r>
              <a:r>
                <a:rPr lang="en-GB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ca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1𝐿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/(〖</a:t>
              </a:r>
              <a:r>
                <a:rPr lang="ca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10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〗^</a:t>
              </a:r>
              <a:r>
                <a:rPr lang="ca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6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GB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ca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𝐿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n-GB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ca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100𝜇𝐿 𝑠𝑎𝑚𝑝𝑙𝑒=100 𝑓𝑚𝑜𝑙 𝑇3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19</xdr:col>
      <xdr:colOff>28575</xdr:colOff>
      <xdr:row>36</xdr:row>
      <xdr:rowOff>171450</xdr:rowOff>
    </xdr:from>
    <xdr:ext cx="4781550" cy="7715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8D0789A-7F91-4DE7-95EF-E36870E26037}"/>
                </a:ext>
              </a:extLst>
            </xdr:cNvPr>
            <xdr:cNvSpPr txBox="1"/>
          </xdr:nvSpPr>
          <xdr:spPr>
            <a:xfrm>
              <a:off x="14542294" y="9982200"/>
              <a:ext cx="4781550" cy="771525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ca-ES" sz="1100" b="0" i="1">
                            <a:latin typeface="Cambria Math" panose="02040503050406030204" pitchFamily="18" charset="0"/>
                          </a:rPr>
                          <m:t>100  </m:t>
                        </m:r>
                        <m:r>
                          <a:rPr lang="ca-ES" sz="1100" b="0" i="1">
                            <a:latin typeface="Cambria Math" panose="02040503050406030204" pitchFamily="18" charset="0"/>
                          </a:rPr>
                          <m:t>𝑓𝑚𝑜𝑙</m:t>
                        </m:r>
                        <m:r>
                          <a:rPr lang="ca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ca-ES" sz="1100" b="0" i="1">
                            <a:latin typeface="Cambria Math" panose="02040503050406030204" pitchFamily="18" charset="0"/>
                          </a:rPr>
                          <m:t>3</m:t>
                        </m:r>
                      </m:num>
                      <m:den>
                        <m:f>
                          <m:f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ca-ES" sz="1100" b="0" i="1">
                                <a:latin typeface="Cambria Math" panose="02040503050406030204" pitchFamily="18" charset="0"/>
                              </a:rPr>
                              <m:t>60 </m:t>
                            </m:r>
                            <m:r>
                              <a:rPr lang="ca-ES" sz="1100" b="0" i="1">
                                <a:latin typeface="Cambria Math" panose="02040503050406030204" pitchFamily="18" charset="0"/>
                              </a:rPr>
                              <m:t>𝑚𝑖𝑛</m:t>
                            </m:r>
                          </m:num>
                          <m:den>
                            <m:f>
                              <m:fPr>
                                <m:ctrlPr>
                                  <a:rPr lang="en-GB" sz="110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ca-ES" sz="1100" b="0" i="1">
                                    <a:latin typeface="Cambria Math" panose="02040503050406030204" pitchFamily="18" charset="0"/>
                                  </a:rPr>
                                  <m:t>𝑚𝑔</m:t>
                                </m:r>
                              </m:num>
                              <m:den>
                                <m:r>
                                  <a:rPr lang="ca-ES" sz="1100" b="0" i="1">
                                    <a:latin typeface="Cambria Math" panose="02040503050406030204" pitchFamily="18" charset="0"/>
                                  </a:rPr>
                                  <m:t>𝑚𝐿</m:t>
                                </m:r>
                              </m:den>
                            </m:f>
                          </m:den>
                        </m:f>
                      </m:den>
                    </m:f>
                    <m:r>
                      <a:rPr lang="ca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ca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ca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100 </m:t>
                        </m:r>
                        <m:r>
                          <a:rPr lang="ca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𝑓𝑚𝑜𝑙</m:t>
                        </m:r>
                        <m:r>
                          <a:rPr lang="ca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ca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num>
                      <m:den>
                        <m:f>
                          <m:fPr>
                            <m:ctrlPr>
                              <a:rPr lang="ca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ca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60 </m:t>
                            </m:r>
                            <m:r>
                              <a:rPr lang="ca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𝑚𝑖𝑛</m:t>
                            </m:r>
                          </m:num>
                          <m:den>
                            <m:r>
                              <a:rPr lang="ca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0.1 </m:t>
                            </m:r>
                            <m:r>
                              <a:rPr lang="ca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𝑚𝐿</m:t>
                            </m:r>
                            <m:r>
                              <a:rPr lang="ca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ca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𝑠𝑎𝑚𝑝𝑙𝑒</m:t>
                            </m:r>
                            <m:r>
                              <a:rPr lang="ca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×</m:t>
                            </m:r>
                            <m:f>
                              <m:fPr>
                                <m:ctrlPr>
                                  <a:rPr lang="ca-E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ca-E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𝑚𝑔</m:t>
                                </m:r>
                              </m:num>
                              <m:den>
                                <m:r>
                                  <a:rPr lang="ca-E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𝑚𝐿</m:t>
                                </m:r>
                              </m:den>
                            </m:f>
                          </m:den>
                        </m:f>
                      </m:den>
                    </m:f>
                    <m:r>
                      <a:rPr lang="ca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ca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ca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100 </m:t>
                        </m:r>
                        <m:r>
                          <a:rPr lang="ca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𝑓𝑚𝑜𝑙</m:t>
                        </m:r>
                        <m:r>
                          <a:rPr lang="ca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ca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num>
                      <m:den>
                        <m:f>
                          <m:fPr>
                            <m:ctrlPr>
                              <a:rPr lang="ca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ca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60 </m:t>
                            </m:r>
                            <m:r>
                              <a:rPr lang="ca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𝑚𝑖𝑛</m:t>
                            </m:r>
                          </m:num>
                          <m:den>
                            <m:r>
                              <a:rPr lang="ca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0.1 </m:t>
                            </m:r>
                            <m:r>
                              <a:rPr lang="ca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𝑚𝑔</m:t>
                            </m:r>
                          </m:den>
                        </m:f>
                      </m:den>
                    </m:f>
                    <m:r>
                      <a:rPr lang="nl-NL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nl-N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nl-N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1000 </m:t>
                        </m:r>
                        <m:r>
                          <a:rPr lang="nl-N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𝑓𝑚𝑜𝑙</m:t>
                        </m:r>
                        <m:r>
                          <a:rPr lang="nl-N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nl-N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nl-N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num>
                      <m:den>
                        <m:f>
                          <m:fPr>
                            <m:ctrlPr>
                              <a:rPr lang="nl-NL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nl-NL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60 </m:t>
                            </m:r>
                            <m:r>
                              <a:rPr lang="nl-NL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𝑚𝑖𝑛</m:t>
                            </m:r>
                          </m:num>
                          <m:den>
                            <m:r>
                              <a:rPr lang="nl-NL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𝑚𝑔</m:t>
                            </m:r>
                          </m:den>
                        </m:f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8D0789A-7F91-4DE7-95EF-E36870E26037}"/>
                </a:ext>
              </a:extLst>
            </xdr:cNvPr>
            <xdr:cNvSpPr txBox="1"/>
          </xdr:nvSpPr>
          <xdr:spPr>
            <a:xfrm>
              <a:off x="14542294" y="9982200"/>
              <a:ext cx="4781550" cy="771525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(</a:t>
              </a:r>
              <a:r>
                <a:rPr lang="ca-ES" sz="1100" b="0" i="0">
                  <a:latin typeface="Cambria Math" panose="02040503050406030204" pitchFamily="18" charset="0"/>
                </a:rPr>
                <a:t>100  𝑓𝑚𝑜𝑙 𝑇3</a:t>
              </a:r>
              <a:r>
                <a:rPr lang="en-GB" sz="1100" b="0" i="0">
                  <a:latin typeface="Cambria Math" panose="02040503050406030204" pitchFamily="18" charset="0"/>
                </a:rPr>
                <a:t>)/((</a:t>
              </a:r>
              <a:r>
                <a:rPr lang="ca-ES" sz="1100" b="0" i="0">
                  <a:latin typeface="Cambria Math" panose="02040503050406030204" pitchFamily="18" charset="0"/>
                </a:rPr>
                <a:t>60 𝑚𝑖𝑛</a:t>
              </a:r>
              <a:r>
                <a:rPr lang="en-GB" sz="1100" b="0" i="0">
                  <a:latin typeface="Cambria Math" panose="02040503050406030204" pitchFamily="18" charset="0"/>
                </a:rPr>
                <a:t>)/(</a:t>
              </a:r>
              <a:r>
                <a:rPr lang="ca-ES" sz="1100" b="0" i="0">
                  <a:latin typeface="Cambria Math" panose="02040503050406030204" pitchFamily="18" charset="0"/>
                </a:rPr>
                <a:t>𝑚𝑔</a:t>
              </a:r>
              <a:r>
                <a:rPr lang="en-GB" sz="1100" b="0" i="0">
                  <a:latin typeface="Cambria Math" panose="02040503050406030204" pitchFamily="18" charset="0"/>
                </a:rPr>
                <a:t>/</a:t>
              </a:r>
              <a:r>
                <a:rPr lang="ca-ES" sz="1100" b="0" i="0">
                  <a:latin typeface="Cambria Math" panose="02040503050406030204" pitchFamily="18" charset="0"/>
                </a:rPr>
                <a:t>𝑚𝐿</a:t>
              </a:r>
              <a:r>
                <a:rPr lang="en-GB" sz="1100" b="0" i="0">
                  <a:latin typeface="Cambria Math" panose="02040503050406030204" pitchFamily="18" charset="0"/>
                </a:rPr>
                <a:t>))</a:t>
              </a:r>
              <a:r>
                <a:rPr lang="ca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=(100 𝑓𝑚𝑜𝑙 𝑇3)/((60 𝑚𝑖𝑛)/(0.1 𝑚𝐿 𝑠𝑎𝑚𝑝𝑙𝑒×𝑚𝑔/𝑚𝐿))=(100 𝑓𝑚𝑜𝑙 𝑇3)/((60 𝑚𝑖𝑛)/(0.1 𝑚𝑔))</a:t>
              </a:r>
              <a:r>
                <a:rPr lang="nl-NL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  (1000 𝑓𝑚𝑜𝑙 𝑇3)/((60 𝑚𝑖𝑛)/𝑚𝑔)</a:t>
              </a:r>
              <a:endParaRPr lang="en-GB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47625</xdr:colOff>
      <xdr:row>45</xdr:row>
      <xdr:rowOff>19050</xdr:rowOff>
    </xdr:from>
    <xdr:ext cx="3118353" cy="3662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261276D-E2A2-4CE5-A9DC-0234FB2B95DA}"/>
                </a:ext>
              </a:extLst>
            </xdr:cNvPr>
            <xdr:cNvSpPr txBox="1"/>
          </xdr:nvSpPr>
          <xdr:spPr>
            <a:xfrm>
              <a:off x="14906625" y="6381750"/>
              <a:ext cx="3118353" cy="366254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ca-ES" sz="1100" b="0" i="1">
                                <a:latin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ca-ES" sz="1100" b="0" i="1">
                                <a:latin typeface="Cambria Math" panose="02040503050406030204" pitchFamily="18" charset="0"/>
                              </a:rPr>
                              <m:t>6</m:t>
                            </m:r>
                          </m:sup>
                        </m:sSup>
                        <m:r>
                          <a:rPr lang="ca-ES" sz="1100" b="0" i="1">
                            <a:latin typeface="Cambria Math" panose="02040503050406030204" pitchFamily="18" charset="0"/>
                          </a:rPr>
                          <m:t>𝑓𝑚𝑜𝑙</m:t>
                        </m:r>
                      </m:num>
                      <m:den>
                        <m:r>
                          <a:rPr lang="ca-ES" sz="1100" b="0" i="1">
                            <a:latin typeface="Cambria Math" panose="02040503050406030204" pitchFamily="18" charset="0"/>
                          </a:rPr>
                          <m:t>𝐿</m:t>
                        </m:r>
                      </m:den>
                    </m:f>
                    <m:r>
                      <a:rPr lang="en-GB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ca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</m:t>
                        </m:r>
                        <m:r>
                          <a:rPr lang="ca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</m:t>
                        </m:r>
                      </m:num>
                      <m:den>
                        <m:sSup>
                          <m:sSupPr>
                            <m:ctrlPr>
                              <a:rPr lang="en-GB" sz="11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pPr>
                          <m:e>
                            <m:r>
                              <a:rPr lang="ca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10</m:t>
                            </m:r>
                          </m:e>
                          <m:sup>
                            <m:r>
                              <a:rPr lang="ca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6</m:t>
                            </m:r>
                          </m:sup>
                        </m:sSup>
                        <m:r>
                          <a:rPr lang="en-GB" sz="110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𝜇</m:t>
                        </m:r>
                        <m:r>
                          <a:rPr lang="ca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𝐿</m:t>
                        </m:r>
                      </m:den>
                    </m:f>
                    <m:r>
                      <a:rPr lang="en-GB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ca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100</m:t>
                    </m:r>
                    <m:r>
                      <a:rPr lang="ca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r>
                      <a:rPr lang="ca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𝐿</m:t>
                    </m:r>
                    <m:r>
                      <a:rPr lang="ca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ca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𝑠𝑎𝑚𝑝𝑙𝑒</m:t>
                    </m:r>
                    <m:r>
                      <a:rPr lang="ca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=100 </m:t>
                    </m:r>
                    <m:r>
                      <a:rPr lang="ca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𝑓𝑚𝑜𝑙</m:t>
                    </m:r>
                    <m:r>
                      <a:rPr lang="ca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ca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𝑇</m:t>
                    </m:r>
                    <m:r>
                      <a:rPr lang="ca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</m:t>
                    </m:r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261276D-E2A2-4CE5-A9DC-0234FB2B95DA}"/>
                </a:ext>
              </a:extLst>
            </xdr:cNvPr>
            <xdr:cNvSpPr txBox="1"/>
          </xdr:nvSpPr>
          <xdr:spPr>
            <a:xfrm>
              <a:off x="14906625" y="6381750"/>
              <a:ext cx="3118353" cy="366254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(〖</a:t>
              </a:r>
              <a:r>
                <a:rPr lang="ca-ES" sz="1100" b="0" i="0">
                  <a:latin typeface="Cambria Math" panose="02040503050406030204" pitchFamily="18" charset="0"/>
                </a:rPr>
                <a:t>10</a:t>
              </a:r>
              <a:r>
                <a:rPr lang="en-GB" sz="1100" b="0" i="0">
                  <a:latin typeface="Cambria Math" panose="02040503050406030204" pitchFamily="18" charset="0"/>
                </a:rPr>
                <a:t>〗^</a:t>
              </a:r>
              <a:r>
                <a:rPr lang="ca-ES" sz="1100" b="0" i="0">
                  <a:latin typeface="Cambria Math" panose="02040503050406030204" pitchFamily="18" charset="0"/>
                </a:rPr>
                <a:t>6 𝑓𝑚𝑜𝑙</a:t>
              </a:r>
              <a:r>
                <a:rPr lang="en-GB" sz="1100" b="0" i="0">
                  <a:latin typeface="Cambria Math" panose="02040503050406030204" pitchFamily="18" charset="0"/>
                </a:rPr>
                <a:t>)/</a:t>
              </a:r>
              <a:r>
                <a:rPr lang="ca-ES" sz="1100" b="0" i="0">
                  <a:latin typeface="Cambria Math" panose="02040503050406030204" pitchFamily="18" charset="0"/>
                </a:rPr>
                <a:t>𝐿</a:t>
              </a:r>
              <a:r>
                <a:rPr lang="en-GB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ca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1𝐿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/(〖</a:t>
              </a:r>
              <a:r>
                <a:rPr lang="ca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10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〗^</a:t>
              </a:r>
              <a:r>
                <a:rPr lang="ca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6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</a:t>
              </a:r>
              <a:r>
                <a:rPr lang="en-GB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𝜇</a:t>
              </a:r>
              <a:r>
                <a:rPr lang="ca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𝐿</a:t>
              </a:r>
              <a:r>
                <a:rPr lang="en-GB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)</a:t>
              </a:r>
              <a:r>
                <a:rPr lang="en-GB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×</a:t>
              </a:r>
              <a:r>
                <a:rPr lang="ca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100𝜇𝐿 𝑠𝑎𝑚𝑝𝑙𝑒=100 𝑓𝑚𝑜𝑙 𝑇3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19</xdr:col>
      <xdr:colOff>28575</xdr:colOff>
      <xdr:row>48</xdr:row>
      <xdr:rowOff>171450</xdr:rowOff>
    </xdr:from>
    <xdr:ext cx="4781550" cy="77152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8D0789A-7F91-4DE7-95EF-E36870E26037}"/>
                </a:ext>
              </a:extLst>
            </xdr:cNvPr>
            <xdr:cNvSpPr txBox="1"/>
          </xdr:nvSpPr>
          <xdr:spPr>
            <a:xfrm>
              <a:off x="14887575" y="7105650"/>
              <a:ext cx="4781550" cy="771525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ca-ES" sz="1100" b="0" i="1">
                            <a:latin typeface="Cambria Math" panose="02040503050406030204" pitchFamily="18" charset="0"/>
                          </a:rPr>
                          <m:t>100  </m:t>
                        </m:r>
                        <m:r>
                          <a:rPr lang="ca-ES" sz="1100" b="0" i="1">
                            <a:latin typeface="Cambria Math" panose="02040503050406030204" pitchFamily="18" charset="0"/>
                          </a:rPr>
                          <m:t>𝑓𝑚𝑜𝑙</m:t>
                        </m:r>
                        <m:r>
                          <a:rPr lang="ca-E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ca-ES" sz="1100" b="0" i="1">
                            <a:latin typeface="Cambria Math" panose="02040503050406030204" pitchFamily="18" charset="0"/>
                          </a:rPr>
                          <m:t>3</m:t>
                        </m:r>
                      </m:num>
                      <m:den>
                        <m:f>
                          <m:fPr>
                            <m:ctrlPr>
                              <a:rPr lang="en-GB" sz="110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ca-ES" sz="1100" b="0" i="1">
                                <a:latin typeface="Cambria Math" panose="02040503050406030204" pitchFamily="18" charset="0"/>
                              </a:rPr>
                              <m:t>60 </m:t>
                            </m:r>
                            <m:r>
                              <a:rPr lang="ca-ES" sz="1100" b="0" i="1">
                                <a:latin typeface="Cambria Math" panose="02040503050406030204" pitchFamily="18" charset="0"/>
                              </a:rPr>
                              <m:t>𝑚𝑖𝑛</m:t>
                            </m:r>
                          </m:num>
                          <m:den>
                            <m:f>
                              <m:fPr>
                                <m:ctrlPr>
                                  <a:rPr lang="en-GB" sz="110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ca-ES" sz="1100" b="0" i="1">
                                    <a:latin typeface="Cambria Math" panose="02040503050406030204" pitchFamily="18" charset="0"/>
                                  </a:rPr>
                                  <m:t>𝑚𝑔</m:t>
                                </m:r>
                              </m:num>
                              <m:den>
                                <m:r>
                                  <a:rPr lang="ca-ES" sz="1100" b="0" i="1">
                                    <a:latin typeface="Cambria Math" panose="02040503050406030204" pitchFamily="18" charset="0"/>
                                  </a:rPr>
                                  <m:t>𝑚𝐿</m:t>
                                </m:r>
                              </m:den>
                            </m:f>
                          </m:den>
                        </m:f>
                      </m:den>
                    </m:f>
                    <m:r>
                      <a:rPr lang="ca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ca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ca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100 </m:t>
                        </m:r>
                        <m:r>
                          <a:rPr lang="ca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𝑓𝑚𝑜𝑙</m:t>
                        </m:r>
                        <m:r>
                          <a:rPr lang="ca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ca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num>
                      <m:den>
                        <m:f>
                          <m:fPr>
                            <m:ctrlPr>
                              <a:rPr lang="ca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ca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60 </m:t>
                            </m:r>
                            <m:r>
                              <a:rPr lang="ca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𝑚𝑖𝑛</m:t>
                            </m:r>
                          </m:num>
                          <m:den>
                            <m:r>
                              <a:rPr lang="ca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0.1 </m:t>
                            </m:r>
                            <m:r>
                              <a:rPr lang="ca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𝑚𝐿</m:t>
                            </m:r>
                            <m:r>
                              <a:rPr lang="ca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</m:t>
                            </m:r>
                            <m:r>
                              <a:rPr lang="ca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𝑠𝑎𝑚𝑝𝑙𝑒</m:t>
                            </m:r>
                            <m:r>
                              <a:rPr lang="ca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×</m:t>
                            </m:r>
                            <m:f>
                              <m:fPr>
                                <m:ctrlPr>
                                  <a:rPr lang="ca-E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ca-E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𝑚𝑔</m:t>
                                </m:r>
                              </m:num>
                              <m:den>
                                <m:r>
                                  <a:rPr lang="ca-ES" sz="11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𝑚𝐿</m:t>
                                </m:r>
                              </m:den>
                            </m:f>
                          </m:den>
                        </m:f>
                      </m:den>
                    </m:f>
                    <m:r>
                      <a:rPr lang="ca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ca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ca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100 </m:t>
                        </m:r>
                        <m:r>
                          <a:rPr lang="ca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𝑓𝑚𝑜𝑙</m:t>
                        </m:r>
                        <m:r>
                          <a:rPr lang="ca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ca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ca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num>
                      <m:den>
                        <m:f>
                          <m:fPr>
                            <m:ctrlPr>
                              <a:rPr lang="ca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ca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60 </m:t>
                            </m:r>
                            <m:r>
                              <a:rPr lang="ca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𝑚𝑖𝑛</m:t>
                            </m:r>
                          </m:num>
                          <m:den>
                            <m:r>
                              <a:rPr lang="ca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0.1 </m:t>
                            </m:r>
                            <m:r>
                              <a:rPr lang="ca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𝑚𝑔</m:t>
                            </m:r>
                          </m:den>
                        </m:f>
                      </m:den>
                    </m:f>
                    <m:r>
                      <a:rPr lang="nl-NL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nl-N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nl-N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1000 </m:t>
                        </m:r>
                        <m:r>
                          <a:rPr lang="nl-N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𝑓𝑚𝑜𝑙</m:t>
                        </m:r>
                        <m:r>
                          <a:rPr lang="nl-N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nl-N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𝑇</m:t>
                        </m:r>
                        <m:r>
                          <a:rPr lang="nl-N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3</m:t>
                        </m:r>
                      </m:num>
                      <m:den>
                        <m:f>
                          <m:fPr>
                            <m:ctrlPr>
                              <a:rPr lang="nl-NL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nl-NL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60 </m:t>
                            </m:r>
                            <m:r>
                              <a:rPr lang="nl-NL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𝑚𝑖𝑛</m:t>
                            </m:r>
                          </m:num>
                          <m:den>
                            <m:r>
                              <a:rPr lang="nl-NL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𝑚𝑔</m:t>
                            </m:r>
                          </m:den>
                        </m:f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98D0789A-7F91-4DE7-95EF-E36870E26037}"/>
                </a:ext>
              </a:extLst>
            </xdr:cNvPr>
            <xdr:cNvSpPr txBox="1"/>
          </xdr:nvSpPr>
          <xdr:spPr>
            <a:xfrm>
              <a:off x="14887575" y="7105650"/>
              <a:ext cx="4781550" cy="771525"/>
            </a:xfrm>
            <a:prstGeom prst="rect">
              <a:avLst/>
            </a:prstGeom>
            <a:solidFill>
              <a:schemeClr val="bg1"/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GB" sz="1100" i="0">
                  <a:latin typeface="Cambria Math" panose="02040503050406030204" pitchFamily="18" charset="0"/>
                </a:rPr>
                <a:t>(</a:t>
              </a:r>
              <a:r>
                <a:rPr lang="ca-ES" sz="1100" b="0" i="0">
                  <a:latin typeface="Cambria Math" panose="02040503050406030204" pitchFamily="18" charset="0"/>
                </a:rPr>
                <a:t>100  𝑓𝑚𝑜𝑙 𝑇3</a:t>
              </a:r>
              <a:r>
                <a:rPr lang="en-GB" sz="1100" b="0" i="0">
                  <a:latin typeface="Cambria Math" panose="02040503050406030204" pitchFamily="18" charset="0"/>
                </a:rPr>
                <a:t>)/((</a:t>
              </a:r>
              <a:r>
                <a:rPr lang="ca-ES" sz="1100" b="0" i="0">
                  <a:latin typeface="Cambria Math" panose="02040503050406030204" pitchFamily="18" charset="0"/>
                </a:rPr>
                <a:t>60 𝑚𝑖𝑛</a:t>
              </a:r>
              <a:r>
                <a:rPr lang="en-GB" sz="1100" b="0" i="0">
                  <a:latin typeface="Cambria Math" panose="02040503050406030204" pitchFamily="18" charset="0"/>
                </a:rPr>
                <a:t>)/(</a:t>
              </a:r>
              <a:r>
                <a:rPr lang="ca-ES" sz="1100" b="0" i="0">
                  <a:latin typeface="Cambria Math" panose="02040503050406030204" pitchFamily="18" charset="0"/>
                </a:rPr>
                <a:t>𝑚𝑔</a:t>
              </a:r>
              <a:r>
                <a:rPr lang="en-GB" sz="1100" b="0" i="0">
                  <a:latin typeface="Cambria Math" panose="02040503050406030204" pitchFamily="18" charset="0"/>
                </a:rPr>
                <a:t>/</a:t>
              </a:r>
              <a:r>
                <a:rPr lang="ca-ES" sz="1100" b="0" i="0">
                  <a:latin typeface="Cambria Math" panose="02040503050406030204" pitchFamily="18" charset="0"/>
                </a:rPr>
                <a:t>𝑚𝐿</a:t>
              </a:r>
              <a:r>
                <a:rPr lang="en-GB" sz="1100" b="0" i="0">
                  <a:latin typeface="Cambria Math" panose="02040503050406030204" pitchFamily="18" charset="0"/>
                </a:rPr>
                <a:t>))</a:t>
              </a:r>
              <a:r>
                <a:rPr lang="ca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=(100 𝑓𝑚𝑜𝑙 𝑇3)/((60 𝑚𝑖𝑛)/(0.1 𝑚𝐿 𝑠𝑎𝑚𝑝𝑙𝑒×𝑚𝑔/𝑚𝐿))=(100 𝑓𝑚𝑜𝑙 𝑇3)/((60 𝑚𝑖𝑛)/(0.1 𝑚𝑔))</a:t>
              </a:r>
              <a:r>
                <a:rPr lang="nl-NL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  (1000 𝑓𝑚𝑜𝑙 𝑇3)/((60 𝑚𝑖𝑛)/𝑚𝑔)</a:t>
              </a:r>
              <a:endParaRPr lang="en-GB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5"/>
  <sheetViews>
    <sheetView workbookViewId="0">
      <selection activeCell="M23" sqref="M23"/>
    </sheetView>
  </sheetViews>
  <sheetFormatPr defaultRowHeight="15" x14ac:dyDescent="0.25"/>
  <sheetData>
    <row r="1" spans="1:1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8"/>
    </row>
    <row r="4" spans="1:1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8"/>
    </row>
    <row r="5" spans="1:1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8"/>
    </row>
    <row r="6" spans="1:1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8"/>
    </row>
    <row r="7" spans="1:1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8"/>
    </row>
    <row r="8" spans="1:1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8"/>
    </row>
    <row r="9" spans="1:1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8"/>
    </row>
    <row r="10" spans="1:1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8"/>
    </row>
    <row r="11" spans="1:1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8"/>
    </row>
    <row r="12" spans="1:1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8"/>
    </row>
    <row r="13" spans="1:1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8"/>
    </row>
    <row r="14" spans="1:1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8"/>
    </row>
    <row r="15" spans="1:1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8"/>
    </row>
    <row r="16" spans="1:1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8"/>
    </row>
    <row r="17" spans="1:1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8"/>
    </row>
    <row r="18" spans="1:1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8"/>
    </row>
    <row r="19" spans="1:1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8"/>
    </row>
    <row r="20" spans="1:1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8"/>
    </row>
    <row r="21" spans="1:1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8"/>
    </row>
    <row r="22" spans="1:1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8"/>
    </row>
    <row r="23" spans="1:1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8"/>
    </row>
    <row r="24" spans="1:1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8"/>
    </row>
    <row r="25" spans="1:1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8"/>
    </row>
    <row r="26" spans="1:1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8"/>
    </row>
    <row r="27" spans="1:1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8"/>
    </row>
    <row r="28" spans="1:1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8"/>
    </row>
    <row r="29" spans="1:1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8"/>
    </row>
    <row r="30" spans="1:1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8"/>
    </row>
    <row r="31" spans="1:1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8"/>
    </row>
    <row r="32" spans="1:1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8"/>
    </row>
    <row r="33" spans="1:1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8"/>
    </row>
    <row r="34" spans="1:1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8"/>
    </row>
    <row r="35" spans="1:1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8"/>
    </row>
    <row r="36" spans="1:1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8"/>
    </row>
    <row r="37" spans="1:1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8"/>
    </row>
    <row r="38" spans="1:1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8"/>
    </row>
    <row r="39" spans="1:1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8"/>
    </row>
    <row r="40" spans="1:1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8"/>
    </row>
    <row r="41" spans="1:1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8"/>
    </row>
    <row r="42" spans="1:1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8"/>
    </row>
    <row r="43" spans="1:1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8"/>
    </row>
    <row r="44" spans="1:11" x14ac:dyDescent="0.25">
      <c r="A44" s="8"/>
      <c r="B44" s="7"/>
      <c r="C44" s="7"/>
      <c r="D44" s="7"/>
      <c r="E44" s="7"/>
      <c r="F44" s="7"/>
      <c r="G44" s="7"/>
      <c r="H44" s="7"/>
      <c r="I44" s="7"/>
      <c r="J44" s="7"/>
      <c r="K44" s="8"/>
    </row>
    <row r="45" spans="1:11" x14ac:dyDescent="0.25">
      <c r="B45" s="8"/>
      <c r="C45" s="8"/>
      <c r="D45" s="8"/>
      <c r="E45" s="8"/>
      <c r="F45" s="8"/>
      <c r="G45" s="8"/>
      <c r="H45" s="8"/>
      <c r="I45" s="8"/>
      <c r="J45" s="8"/>
      <c r="K45" s="8"/>
    </row>
  </sheetData>
  <pageMargins left="0.7" right="0.7" top="0.75" bottom="0.75" header="0.3" footer="0.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X37"/>
  <sheetViews>
    <sheetView workbookViewId="0">
      <selection activeCell="D39" sqref="D39"/>
    </sheetView>
  </sheetViews>
  <sheetFormatPr defaultRowHeight="15" x14ac:dyDescent="0.25"/>
  <cols>
    <col min="1" max="1" width="28.140625" bestFit="1" customWidth="1"/>
    <col min="7" max="7" width="9.140625" customWidth="1"/>
    <col min="13" max="13" width="20.7109375" bestFit="1" customWidth="1"/>
    <col min="14" max="14" width="17" customWidth="1"/>
    <col min="16" max="17" width="9.85546875" customWidth="1"/>
    <col min="21" max="21" width="16.28515625" customWidth="1"/>
  </cols>
  <sheetData>
    <row r="1" spans="1:17" s="11" customFormat="1" ht="18.75" x14ac:dyDescent="0.3">
      <c r="A1" s="10" t="s">
        <v>36</v>
      </c>
      <c r="M1" s="10" t="s">
        <v>37</v>
      </c>
      <c r="N1" s="122">
        <v>44990</v>
      </c>
    </row>
    <row r="2" spans="1:17" x14ac:dyDescent="0.25">
      <c r="A2" s="1" t="s">
        <v>48</v>
      </c>
      <c r="M2" t="s">
        <v>59</v>
      </c>
      <c r="N2">
        <v>16</v>
      </c>
    </row>
    <row r="3" spans="1:17" x14ac:dyDescent="0.25">
      <c r="A3" t="s">
        <v>38</v>
      </c>
      <c r="B3" t="s">
        <v>39</v>
      </c>
      <c r="M3" t="s">
        <v>60</v>
      </c>
      <c r="N3">
        <v>8</v>
      </c>
    </row>
    <row r="4" spans="1:17" x14ac:dyDescent="0.25">
      <c r="A4" t="s">
        <v>40</v>
      </c>
      <c r="B4">
        <v>10</v>
      </c>
      <c r="E4" t="s">
        <v>137</v>
      </c>
      <c r="G4" t="s">
        <v>170</v>
      </c>
      <c r="M4" t="s">
        <v>61</v>
      </c>
      <c r="N4">
        <f>SUM(N2:N3)+P5</f>
        <v>28</v>
      </c>
      <c r="P4" t="s">
        <v>139</v>
      </c>
      <c r="Q4" t="s">
        <v>140</v>
      </c>
    </row>
    <row r="5" spans="1:17" x14ac:dyDescent="0.25">
      <c r="A5" t="s">
        <v>47</v>
      </c>
      <c r="B5">
        <v>50</v>
      </c>
      <c r="C5" t="s">
        <v>46</v>
      </c>
      <c r="P5">
        <v>4</v>
      </c>
    </row>
    <row r="6" spans="1:17" x14ac:dyDescent="0.25">
      <c r="A6" t="s">
        <v>41</v>
      </c>
      <c r="B6">
        <v>200000</v>
      </c>
      <c r="C6" t="s">
        <v>43</v>
      </c>
      <c r="M6" t="s">
        <v>62</v>
      </c>
      <c r="N6">
        <v>34</v>
      </c>
    </row>
    <row r="8" spans="1:17" x14ac:dyDescent="0.25">
      <c r="A8" t="s">
        <v>50</v>
      </c>
      <c r="B8">
        <f>B5*B4</f>
        <v>500</v>
      </c>
      <c r="C8" t="s">
        <v>46</v>
      </c>
      <c r="M8" t="s">
        <v>63</v>
      </c>
      <c r="N8">
        <f>N6*0.25</f>
        <v>8.5</v>
      </c>
      <c r="O8" t="s">
        <v>64</v>
      </c>
    </row>
    <row r="9" spans="1:17" x14ac:dyDescent="0.25">
      <c r="M9" t="s">
        <v>66</v>
      </c>
      <c r="N9">
        <f>N8/5</f>
        <v>1.7</v>
      </c>
      <c r="O9" t="s">
        <v>64</v>
      </c>
    </row>
    <row r="10" spans="1:17" x14ac:dyDescent="0.25">
      <c r="A10" s="1" t="s">
        <v>135</v>
      </c>
      <c r="M10" t="s">
        <v>65</v>
      </c>
      <c r="N10">
        <f>N8-N9</f>
        <v>6.8</v>
      </c>
      <c r="O10" t="s">
        <v>64</v>
      </c>
    </row>
    <row r="11" spans="1:17" x14ac:dyDescent="0.25">
      <c r="A11" t="s">
        <v>45</v>
      </c>
      <c r="B11">
        <f>B6*B4</f>
        <v>2000000</v>
      </c>
    </row>
    <row r="12" spans="1:17" x14ac:dyDescent="0.25">
      <c r="A12" t="s">
        <v>42</v>
      </c>
      <c r="B12" s="94">
        <f>402666/5</f>
        <v>80533.2</v>
      </c>
      <c r="C12" t="s">
        <v>44</v>
      </c>
      <c r="M12" t="s">
        <v>69</v>
      </c>
    </row>
    <row r="13" spans="1:17" x14ac:dyDescent="0.25">
      <c r="A13" t="s">
        <v>51</v>
      </c>
      <c r="B13" s="95">
        <f>B11/B12</f>
        <v>24.834478202778481</v>
      </c>
      <c r="C13" s="2" t="s">
        <v>49</v>
      </c>
      <c r="E13" s="9">
        <f>B13*1.1</f>
        <v>27.31792602305633</v>
      </c>
      <c r="F13" t="s">
        <v>46</v>
      </c>
    </row>
    <row r="14" spans="1:17" x14ac:dyDescent="0.25">
      <c r="M14" s="128" t="s">
        <v>71</v>
      </c>
      <c r="N14" s="128"/>
      <c r="O14" s="128"/>
      <c r="P14" s="128"/>
    </row>
    <row r="15" spans="1:17" x14ac:dyDescent="0.25">
      <c r="A15" s="1" t="s">
        <v>136</v>
      </c>
      <c r="B15" s="54"/>
      <c r="C15" s="54"/>
      <c r="D15" s="54"/>
      <c r="E15" s="54"/>
      <c r="M15" t="s">
        <v>70</v>
      </c>
    </row>
    <row r="16" spans="1:17" x14ac:dyDescent="0.25">
      <c r="A16" s="54" t="s">
        <v>45</v>
      </c>
      <c r="B16" s="54">
        <f>B6*B4</f>
        <v>2000000</v>
      </c>
      <c r="C16" s="54"/>
      <c r="D16" s="54"/>
      <c r="E16" s="54"/>
      <c r="M16" t="s">
        <v>67</v>
      </c>
    </row>
    <row r="17" spans="1:24" x14ac:dyDescent="0.25">
      <c r="A17" s="54" t="s">
        <v>42</v>
      </c>
      <c r="B17" s="94">
        <f>749709/5</f>
        <v>149941.79999999999</v>
      </c>
      <c r="C17" s="54" t="s">
        <v>44</v>
      </c>
      <c r="D17" s="54"/>
      <c r="E17" s="54"/>
      <c r="M17" t="s">
        <v>72</v>
      </c>
    </row>
    <row r="18" spans="1:24" x14ac:dyDescent="0.25">
      <c r="A18" s="54" t="s">
        <v>51</v>
      </c>
      <c r="B18" s="95">
        <f>B16/B17</f>
        <v>13.338508674699117</v>
      </c>
      <c r="C18" s="2" t="s">
        <v>49</v>
      </c>
      <c r="D18" s="54"/>
      <c r="E18" s="9">
        <f>B18*1.1</f>
        <v>14.67235954216903</v>
      </c>
      <c r="H18" t="s">
        <v>138</v>
      </c>
      <c r="M18" t="s">
        <v>68</v>
      </c>
    </row>
    <row r="20" spans="1:24" x14ac:dyDescent="0.25">
      <c r="A20" s="1" t="s">
        <v>52</v>
      </c>
      <c r="M20" t="s">
        <v>73</v>
      </c>
    </row>
    <row r="21" spans="1:24" x14ac:dyDescent="0.25">
      <c r="A21" t="s">
        <v>53</v>
      </c>
      <c r="B21">
        <v>1</v>
      </c>
      <c r="C21" t="s">
        <v>82</v>
      </c>
      <c r="D21" t="s">
        <v>55</v>
      </c>
      <c r="M21" t="s">
        <v>74</v>
      </c>
    </row>
    <row r="22" spans="1:24" x14ac:dyDescent="0.25">
      <c r="A22" t="s">
        <v>56</v>
      </c>
      <c r="B22">
        <v>2</v>
      </c>
      <c r="C22" t="s">
        <v>83</v>
      </c>
      <c r="D22" t="s">
        <v>57</v>
      </c>
    </row>
    <row r="23" spans="1:24" x14ac:dyDescent="0.25">
      <c r="A23" t="s">
        <v>80</v>
      </c>
      <c r="B23">
        <f>(B8*2)/500</f>
        <v>2</v>
      </c>
      <c r="C23" t="s">
        <v>46</v>
      </c>
    </row>
    <row r="24" spans="1:24" x14ac:dyDescent="0.25">
      <c r="M24" t="s">
        <v>141</v>
      </c>
      <c r="N24" t="s">
        <v>142</v>
      </c>
      <c r="R24" t="s">
        <v>143</v>
      </c>
    </row>
    <row r="25" spans="1:24" x14ac:dyDescent="0.25">
      <c r="A25" s="1" t="s">
        <v>58</v>
      </c>
      <c r="M25">
        <v>1</v>
      </c>
      <c r="N25">
        <v>2</v>
      </c>
      <c r="O25">
        <v>3</v>
      </c>
      <c r="P25">
        <v>4</v>
      </c>
      <c r="Q25">
        <v>5</v>
      </c>
      <c r="R25">
        <v>6</v>
      </c>
      <c r="S25">
        <v>7</v>
      </c>
      <c r="T25">
        <v>8</v>
      </c>
      <c r="U25">
        <v>9</v>
      </c>
      <c r="V25">
        <v>10</v>
      </c>
      <c r="W25">
        <v>11</v>
      </c>
      <c r="X25">
        <v>12</v>
      </c>
    </row>
    <row r="26" spans="1:24" x14ac:dyDescent="0.25">
      <c r="A26" t="s">
        <v>78</v>
      </c>
      <c r="B26">
        <v>8</v>
      </c>
      <c r="C26" t="s">
        <v>64</v>
      </c>
      <c r="L26" t="s">
        <v>22</v>
      </c>
      <c r="M26" s="57" t="s">
        <v>149</v>
      </c>
      <c r="N26" s="57" t="s">
        <v>149</v>
      </c>
      <c r="O26" s="57"/>
      <c r="P26" s="57" t="s">
        <v>173</v>
      </c>
      <c r="Q26" s="57" t="s">
        <v>177</v>
      </c>
      <c r="R26" s="57"/>
      <c r="S26" s="57"/>
      <c r="T26" s="57"/>
      <c r="U26" s="57"/>
      <c r="V26" s="57"/>
      <c r="W26" s="57"/>
      <c r="X26" s="57"/>
    </row>
    <row r="27" spans="1:24" x14ac:dyDescent="0.25">
      <c r="A27" t="s">
        <v>53</v>
      </c>
      <c r="B27">
        <v>1</v>
      </c>
      <c r="C27" t="s">
        <v>21</v>
      </c>
      <c r="L27" t="s">
        <v>23</v>
      </c>
      <c r="M27" s="57" t="s">
        <v>156</v>
      </c>
      <c r="N27" s="57" t="s">
        <v>156</v>
      </c>
      <c r="O27" s="57"/>
      <c r="P27" s="57" t="s">
        <v>174</v>
      </c>
      <c r="Q27" s="57" t="s">
        <v>178</v>
      </c>
      <c r="R27" s="57"/>
      <c r="S27" s="57"/>
      <c r="T27" s="57"/>
      <c r="U27" s="57"/>
      <c r="V27" s="57"/>
      <c r="W27" s="57"/>
      <c r="X27" s="57"/>
    </row>
    <row r="28" spans="1:24" x14ac:dyDescent="0.25">
      <c r="A28" t="s">
        <v>54</v>
      </c>
      <c r="B28">
        <v>10</v>
      </c>
      <c r="C28" t="s">
        <v>79</v>
      </c>
      <c r="L28" t="s">
        <v>144</v>
      </c>
      <c r="M28" s="57" t="s">
        <v>150</v>
      </c>
      <c r="N28" s="57" t="s">
        <v>150</v>
      </c>
      <c r="O28" s="57"/>
      <c r="P28" s="57" t="s">
        <v>175</v>
      </c>
      <c r="Q28" s="57" t="s">
        <v>179</v>
      </c>
      <c r="R28" s="57"/>
      <c r="S28" s="57"/>
      <c r="T28" s="57"/>
      <c r="U28" s="57"/>
      <c r="V28" s="57"/>
      <c r="W28" s="57"/>
      <c r="X28" s="57"/>
    </row>
    <row r="29" spans="1:24" x14ac:dyDescent="0.25">
      <c r="A29" t="s">
        <v>81</v>
      </c>
      <c r="B29">
        <f>((B26*1000)*B28)/(B27*1000)</f>
        <v>80</v>
      </c>
      <c r="C29" t="s">
        <v>46</v>
      </c>
      <c r="L29" t="s">
        <v>145</v>
      </c>
      <c r="M29" s="57" t="s">
        <v>151</v>
      </c>
      <c r="N29" s="57" t="s">
        <v>151</v>
      </c>
      <c r="O29" s="57"/>
      <c r="P29" s="57" t="s">
        <v>176</v>
      </c>
      <c r="Q29" s="57" t="s">
        <v>180</v>
      </c>
      <c r="R29" s="57"/>
      <c r="S29" s="57"/>
      <c r="T29" s="57"/>
      <c r="U29" s="57"/>
      <c r="V29" s="57"/>
      <c r="W29" s="57"/>
      <c r="X29" s="57"/>
    </row>
    <row r="30" spans="1:24" x14ac:dyDescent="0.25">
      <c r="L30" t="s">
        <v>146</v>
      </c>
      <c r="M30" s="57" t="s">
        <v>152</v>
      </c>
      <c r="N30" s="57" t="s">
        <v>152</v>
      </c>
      <c r="O30" s="57"/>
      <c r="P30" s="57"/>
      <c r="Q30" s="57"/>
      <c r="R30" s="57"/>
      <c r="S30" s="57"/>
      <c r="T30" s="57"/>
      <c r="U30" s="57"/>
      <c r="V30" s="57"/>
      <c r="W30" s="57"/>
      <c r="X30" s="57"/>
    </row>
    <row r="31" spans="1:24" x14ac:dyDescent="0.25">
      <c r="A31" s="108" t="s">
        <v>127</v>
      </c>
      <c r="B31" s="109"/>
      <c r="C31" s="109"/>
      <c r="L31" t="s">
        <v>24</v>
      </c>
      <c r="M31" s="57" t="s">
        <v>153</v>
      </c>
      <c r="N31" s="57" t="s">
        <v>153</v>
      </c>
      <c r="O31" s="57"/>
      <c r="P31" s="57"/>
      <c r="Q31" s="57"/>
      <c r="R31" s="57"/>
      <c r="S31" s="57"/>
      <c r="T31" s="57"/>
      <c r="U31" s="57"/>
      <c r="V31" s="57"/>
      <c r="W31" s="57"/>
      <c r="X31" s="57"/>
    </row>
    <row r="32" spans="1:24" x14ac:dyDescent="0.25">
      <c r="A32" s="109" t="s">
        <v>129</v>
      </c>
      <c r="B32" s="109">
        <v>10</v>
      </c>
      <c r="C32" s="109" t="s">
        <v>79</v>
      </c>
      <c r="L32" t="s">
        <v>147</v>
      </c>
      <c r="M32" s="57" t="s">
        <v>154</v>
      </c>
      <c r="N32" s="57" t="s">
        <v>154</v>
      </c>
      <c r="O32" s="57"/>
      <c r="P32" s="57"/>
      <c r="Q32" s="57"/>
      <c r="R32" s="57"/>
      <c r="S32" s="57"/>
      <c r="T32" s="57"/>
      <c r="U32" s="57"/>
      <c r="V32" s="57"/>
      <c r="W32" s="57"/>
      <c r="X32" s="57"/>
    </row>
    <row r="33" spans="1:24" x14ac:dyDescent="0.25">
      <c r="A33" s="109" t="s">
        <v>34</v>
      </c>
      <c r="B33" s="109">
        <v>0.2</v>
      </c>
      <c r="C33" s="109" t="s">
        <v>79</v>
      </c>
      <c r="L33" t="s">
        <v>148</v>
      </c>
      <c r="M33" s="57" t="s">
        <v>155</v>
      </c>
      <c r="N33" s="57" t="s">
        <v>155</v>
      </c>
      <c r="O33" s="57"/>
      <c r="P33" s="57"/>
      <c r="Q33" s="57"/>
      <c r="R33" s="57"/>
      <c r="S33" s="57"/>
      <c r="T33" s="57"/>
      <c r="U33" s="57"/>
      <c r="V33" s="57"/>
      <c r="W33" s="57"/>
      <c r="X33" s="57"/>
    </row>
    <row r="34" spans="1:24" x14ac:dyDescent="0.25">
      <c r="A34" s="109" t="s">
        <v>128</v>
      </c>
      <c r="B34" s="109">
        <v>100</v>
      </c>
      <c r="C34" s="109" t="s">
        <v>46</v>
      </c>
    </row>
    <row r="35" spans="1:24" x14ac:dyDescent="0.25">
      <c r="A35" s="109" t="s">
        <v>130</v>
      </c>
      <c r="B35" s="109">
        <f>(B33*B34)/B32</f>
        <v>2</v>
      </c>
      <c r="C35" s="109" t="s">
        <v>46</v>
      </c>
      <c r="M35" t="s">
        <v>158</v>
      </c>
      <c r="U35" t="s">
        <v>160</v>
      </c>
    </row>
    <row r="36" spans="1:24" x14ac:dyDescent="0.25">
      <c r="A36" s="109"/>
      <c r="B36" s="109"/>
      <c r="C36" s="109"/>
    </row>
    <row r="37" spans="1:24" x14ac:dyDescent="0.25">
      <c r="M37" t="s">
        <v>157</v>
      </c>
      <c r="U37" t="s">
        <v>159</v>
      </c>
    </row>
  </sheetData>
  <pageMargins left="0.7" right="0.7" top="0.75" bottom="0.75" header="0.3" footer="0.3"/>
  <pageSetup paperSize="9" scale="47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G30" sqref="G30"/>
    </sheetView>
  </sheetViews>
  <sheetFormatPr defaultRowHeight="15" x14ac:dyDescent="0.25"/>
  <cols>
    <col min="1" max="1" width="22" customWidth="1"/>
    <col min="2" max="2" width="10.7109375" bestFit="1" customWidth="1"/>
    <col min="3" max="3" width="10.5703125" bestFit="1" customWidth="1"/>
    <col min="5" max="5" width="15.85546875" bestFit="1" customWidth="1"/>
    <col min="16" max="16" width="9.7109375" customWidth="1"/>
  </cols>
  <sheetData>
    <row r="1" spans="1:22" x14ac:dyDescent="0.25">
      <c r="A1" s="6" t="s">
        <v>26</v>
      </c>
      <c r="B1" s="6"/>
    </row>
    <row r="2" spans="1:22" x14ac:dyDescent="0.25">
      <c r="A2" s="110">
        <v>1.534</v>
      </c>
      <c r="B2" s="111">
        <v>1.0029999999999999</v>
      </c>
      <c r="C2" s="111"/>
      <c r="D2" s="111">
        <v>0.81599999999999995</v>
      </c>
      <c r="E2" s="111">
        <v>0.82299999999999995</v>
      </c>
      <c r="F2" s="111"/>
      <c r="G2" s="111"/>
      <c r="H2" s="111"/>
      <c r="I2" s="111"/>
      <c r="J2" s="111"/>
      <c r="K2" s="111"/>
      <c r="L2" s="112"/>
    </row>
    <row r="3" spans="1:22" x14ac:dyDescent="0.25">
      <c r="A3" s="113">
        <v>1.3109999999999999</v>
      </c>
      <c r="B3" s="114">
        <v>1.36</v>
      </c>
      <c r="C3" s="114"/>
      <c r="D3" s="114">
        <v>0.81899999999999995</v>
      </c>
      <c r="E3" s="114">
        <v>0.81399999999999995</v>
      </c>
      <c r="F3" s="114"/>
      <c r="G3" s="114"/>
      <c r="H3" s="114"/>
      <c r="I3" s="114"/>
      <c r="J3" s="114"/>
      <c r="K3" s="114"/>
      <c r="L3" s="115"/>
    </row>
    <row r="4" spans="1:22" x14ac:dyDescent="0.25">
      <c r="A4" s="113">
        <v>1.0049999999999999</v>
      </c>
      <c r="B4" s="114">
        <v>1.0229999999999999</v>
      </c>
      <c r="C4" s="114"/>
      <c r="D4" s="114">
        <v>0.83</v>
      </c>
      <c r="E4" s="114">
        <v>0.86199999999999999</v>
      </c>
      <c r="F4" s="114"/>
      <c r="G4" s="114"/>
      <c r="H4" s="114"/>
      <c r="I4" s="114"/>
      <c r="J4" s="114"/>
      <c r="K4" s="114"/>
      <c r="L4" s="115"/>
    </row>
    <row r="5" spans="1:22" x14ac:dyDescent="0.25">
      <c r="A5" s="113">
        <v>0.95699999999999996</v>
      </c>
      <c r="B5" s="114">
        <v>1.0209999999999999</v>
      </c>
      <c r="C5" s="114"/>
      <c r="D5" s="114">
        <v>0.84099999999999997</v>
      </c>
      <c r="E5" s="114">
        <v>0.86099999999999999</v>
      </c>
      <c r="F5" s="114"/>
      <c r="G5" s="114"/>
      <c r="H5" s="114"/>
      <c r="I5" s="114"/>
      <c r="J5" s="114"/>
      <c r="K5" s="114"/>
      <c r="L5" s="115"/>
    </row>
    <row r="6" spans="1:22" x14ac:dyDescent="0.25">
      <c r="A6" s="113">
        <v>0.77900000000000003</v>
      </c>
      <c r="B6" s="114">
        <v>0.78</v>
      </c>
      <c r="C6" s="114"/>
      <c r="D6" s="114"/>
      <c r="E6" s="114"/>
      <c r="F6" s="114"/>
      <c r="G6" s="114"/>
      <c r="H6" s="114"/>
      <c r="I6" s="114"/>
      <c r="J6" s="114"/>
      <c r="K6" s="114"/>
      <c r="L6" s="115"/>
    </row>
    <row r="7" spans="1:22" x14ac:dyDescent="0.25">
      <c r="A7" s="113">
        <v>0.52200000000000002</v>
      </c>
      <c r="B7" s="114">
        <v>0.53500000000000003</v>
      </c>
      <c r="C7" s="114"/>
      <c r="D7" s="114"/>
      <c r="E7" s="114"/>
      <c r="F7" s="114"/>
      <c r="G7" s="114"/>
      <c r="H7" s="114"/>
      <c r="I7" s="114"/>
      <c r="J7" s="114"/>
      <c r="K7" s="114"/>
      <c r="L7" s="115"/>
    </row>
    <row r="8" spans="1:22" x14ac:dyDescent="0.25">
      <c r="A8" s="113">
        <v>0.44700000000000001</v>
      </c>
      <c r="B8" s="114">
        <v>0.48899999999999999</v>
      </c>
      <c r="C8" s="114"/>
      <c r="D8" s="114"/>
      <c r="E8" s="114"/>
      <c r="F8" s="114"/>
      <c r="G8" s="114"/>
      <c r="H8" s="114"/>
      <c r="I8" s="114"/>
      <c r="J8" s="114"/>
      <c r="K8" s="114"/>
      <c r="L8" s="115"/>
    </row>
    <row r="9" spans="1:22" x14ac:dyDescent="0.25">
      <c r="A9" s="116">
        <v>0.36299999999999999</v>
      </c>
      <c r="B9" s="53">
        <v>0.36299999999999999</v>
      </c>
      <c r="C9" s="53"/>
      <c r="D9" s="53"/>
      <c r="E9" s="53"/>
      <c r="F9" s="53"/>
      <c r="G9" s="53"/>
      <c r="H9" s="53"/>
      <c r="I9" s="53"/>
      <c r="J9" s="53"/>
      <c r="K9" s="53"/>
      <c r="L9" s="117">
        <v>4.4999999999999998E-2</v>
      </c>
    </row>
    <row r="11" spans="1:22" x14ac:dyDescent="0.25">
      <c r="A11" s="6" t="s">
        <v>27</v>
      </c>
      <c r="B11" s="6"/>
    </row>
    <row r="12" spans="1:22" x14ac:dyDescent="0.25">
      <c r="A12" t="s">
        <v>28</v>
      </c>
      <c r="B12" t="s">
        <v>22</v>
      </c>
      <c r="C12" t="s">
        <v>23</v>
      </c>
      <c r="D12" t="s">
        <v>29</v>
      </c>
      <c r="E12" t="s">
        <v>165</v>
      </c>
      <c r="O12" s="96" t="s">
        <v>30</v>
      </c>
      <c r="U12" s="96" t="s">
        <v>164</v>
      </c>
      <c r="V12" s="96"/>
    </row>
    <row r="13" spans="1:22" x14ac:dyDescent="0.25">
      <c r="A13" s="96">
        <v>2</v>
      </c>
      <c r="B13" s="110">
        <v>1.534</v>
      </c>
      <c r="C13" s="111">
        <v>1.0029999999999999</v>
      </c>
      <c r="D13" s="96">
        <f t="shared" ref="D13:D19" si="0">AVERAGE(B13:C13)</f>
        <v>1.2685</v>
      </c>
      <c r="F13" s="96" t="s">
        <v>163</v>
      </c>
      <c r="O13" s="96"/>
    </row>
    <row r="14" spans="1:22" x14ac:dyDescent="0.25">
      <c r="A14" s="96">
        <v>1.5</v>
      </c>
      <c r="B14" s="113">
        <v>1.3109999999999999</v>
      </c>
      <c r="C14" s="114">
        <v>1.36</v>
      </c>
      <c r="D14" s="96">
        <f t="shared" si="0"/>
        <v>1.3355000000000001</v>
      </c>
      <c r="E14" s="96">
        <f>D14-$D$20</f>
        <v>0.97250000000000014</v>
      </c>
      <c r="F14" s="96"/>
      <c r="O14" s="96" t="s">
        <v>25</v>
      </c>
    </row>
    <row r="15" spans="1:22" x14ac:dyDescent="0.25">
      <c r="A15" s="96">
        <v>1</v>
      </c>
      <c r="B15" s="113">
        <v>1.0049999999999999</v>
      </c>
      <c r="C15" s="114">
        <v>1.0229999999999999</v>
      </c>
      <c r="D15" s="96">
        <f t="shared" si="0"/>
        <v>1.0139999999999998</v>
      </c>
      <c r="E15" s="54"/>
      <c r="O15" s="96" t="s">
        <v>35</v>
      </c>
    </row>
    <row r="16" spans="1:22" x14ac:dyDescent="0.25">
      <c r="A16">
        <v>0.75</v>
      </c>
      <c r="B16" s="113">
        <v>0.95699999999999996</v>
      </c>
      <c r="C16" s="114">
        <v>1.0209999999999999</v>
      </c>
      <c r="D16">
        <f t="shared" si="0"/>
        <v>0.98899999999999988</v>
      </c>
      <c r="E16" s="54"/>
      <c r="O16" s="96"/>
    </row>
    <row r="17" spans="1:19" x14ac:dyDescent="0.25">
      <c r="A17">
        <v>0.5</v>
      </c>
      <c r="B17" s="113">
        <v>0.77900000000000003</v>
      </c>
      <c r="C17" s="114">
        <v>0.78</v>
      </c>
      <c r="D17">
        <f t="shared" si="0"/>
        <v>0.77950000000000008</v>
      </c>
      <c r="E17" s="54"/>
      <c r="O17" s="96" t="s">
        <v>75</v>
      </c>
      <c r="R17">
        <v>5</v>
      </c>
    </row>
    <row r="18" spans="1:19" x14ac:dyDescent="0.25">
      <c r="A18">
        <v>0.25</v>
      </c>
      <c r="B18" s="113">
        <v>0.52200000000000002</v>
      </c>
      <c r="C18" s="114">
        <v>0.53500000000000003</v>
      </c>
      <c r="D18" s="54">
        <f t="shared" si="0"/>
        <v>0.52849999999999997</v>
      </c>
      <c r="E18" s="54"/>
      <c r="O18" s="96" t="s">
        <v>84</v>
      </c>
      <c r="R18">
        <v>1</v>
      </c>
      <c r="S18" s="5" t="s">
        <v>76</v>
      </c>
    </row>
    <row r="19" spans="1:19" x14ac:dyDescent="0.25">
      <c r="A19">
        <v>0.125</v>
      </c>
      <c r="B19" s="113">
        <v>0.44700000000000001</v>
      </c>
      <c r="C19" s="114">
        <v>0.48899999999999999</v>
      </c>
      <c r="D19" s="54">
        <f t="shared" si="0"/>
        <v>0.46799999999999997</v>
      </c>
      <c r="E19" s="54"/>
      <c r="O19" s="97" t="s">
        <v>77</v>
      </c>
      <c r="P19" s="12"/>
      <c r="Q19" s="12"/>
      <c r="R19" s="12">
        <f>R17*R18</f>
        <v>5</v>
      </c>
    </row>
    <row r="20" spans="1:19" x14ac:dyDescent="0.25">
      <c r="A20">
        <v>0</v>
      </c>
      <c r="B20" s="116">
        <v>0.36299999999999999</v>
      </c>
      <c r="C20" s="53">
        <v>0.36299999999999999</v>
      </c>
      <c r="D20" s="54">
        <f t="shared" ref="D20" si="1">AVERAGE(B20:C20)</f>
        <v>0.36299999999999999</v>
      </c>
    </row>
    <row r="22" spans="1:19" x14ac:dyDescent="0.25">
      <c r="A22" s="8"/>
      <c r="B22" s="8"/>
      <c r="C22" s="8"/>
      <c r="D22" s="8"/>
      <c r="E22" s="8"/>
      <c r="F22" s="8"/>
    </row>
    <row r="23" spans="1:19" x14ac:dyDescent="0.25">
      <c r="A23" s="123"/>
      <c r="B23" s="123"/>
      <c r="C23" s="8"/>
      <c r="D23" s="8"/>
      <c r="E23" s="8"/>
      <c r="F23" s="8"/>
    </row>
    <row r="24" spans="1:19" x14ac:dyDescent="0.25">
      <c r="A24" s="124"/>
      <c r="B24" s="8"/>
      <c r="C24" s="8"/>
      <c r="D24" s="125"/>
      <c r="E24" s="8"/>
      <c r="F24" s="8"/>
      <c r="G24">
        <f>SLOPE(D16:D20,A16:A20)</f>
        <v>0.84282758620689657</v>
      </c>
      <c r="H24" s="54" t="s">
        <v>171</v>
      </c>
    </row>
    <row r="25" spans="1:19" x14ac:dyDescent="0.25">
      <c r="A25" s="126"/>
      <c r="B25" s="8"/>
      <c r="C25" s="8"/>
      <c r="D25" s="126"/>
      <c r="E25" s="8"/>
      <c r="F25" s="8"/>
      <c r="G25">
        <f>INTERCEPT(D16:D20,A16:A20)</f>
        <v>0.35168103448275856</v>
      </c>
      <c r="H25" t="s">
        <v>172</v>
      </c>
      <c r="L25">
        <f>LINEST(D13:D20,A13:A20,1,1)</f>
        <v>0.49590945104697254</v>
      </c>
      <c r="M25">
        <v>0.33019999999999999</v>
      </c>
    </row>
    <row r="26" spans="1:19" x14ac:dyDescent="0.25">
      <c r="A26" s="124"/>
      <c r="B26" s="8"/>
      <c r="C26" s="8"/>
      <c r="D26" s="124"/>
      <c r="E26" s="8"/>
      <c r="F26" s="8"/>
      <c r="K26" t="s">
        <v>162</v>
      </c>
    </row>
    <row r="27" spans="1:19" x14ac:dyDescent="0.25">
      <c r="A27" s="127"/>
      <c r="B27" s="8"/>
      <c r="C27" s="8"/>
      <c r="D27" s="127"/>
      <c r="E27" s="8"/>
      <c r="F27" s="8"/>
      <c r="H27" s="98" t="s">
        <v>161</v>
      </c>
      <c r="I27" s="98"/>
      <c r="J27" s="98"/>
      <c r="K27" s="99" t="e">
        <f>AVERAGE(I3:I5)</f>
        <v>#DIV/0!</v>
      </c>
    </row>
    <row r="28" spans="1:19" x14ac:dyDescent="0.25">
      <c r="A28" s="8"/>
      <c r="B28" s="8"/>
      <c r="C28" s="8"/>
      <c r="D28" s="8"/>
      <c r="E28" s="8"/>
      <c r="F28" s="8"/>
    </row>
    <row r="29" spans="1:19" x14ac:dyDescent="0.25">
      <c r="A29" s="8"/>
      <c r="B29" s="8"/>
      <c r="C29" s="8"/>
      <c r="D29" s="8"/>
      <c r="E29" s="8"/>
      <c r="F29" s="8"/>
      <c r="G29" s="8"/>
      <c r="H29" s="8"/>
    </row>
    <row r="30" spans="1:19" x14ac:dyDescent="0.25">
      <c r="A30" s="6" t="s">
        <v>31</v>
      </c>
      <c r="B30" s="6"/>
      <c r="C30" s="6"/>
      <c r="G30" s="54"/>
      <c r="J30" s="2"/>
    </row>
    <row r="31" spans="1:19" x14ac:dyDescent="0.25">
      <c r="A31" t="s">
        <v>32</v>
      </c>
      <c r="B31" t="s">
        <v>22</v>
      </c>
      <c r="C31" t="s">
        <v>23</v>
      </c>
      <c r="D31" t="s">
        <v>29</v>
      </c>
      <c r="E31" t="s">
        <v>33</v>
      </c>
    </row>
    <row r="32" spans="1:19" x14ac:dyDescent="0.25">
      <c r="A32" t="s">
        <v>181</v>
      </c>
      <c r="B32" s="111">
        <v>0.81599999999999995</v>
      </c>
      <c r="C32" s="111">
        <v>0.82299999999999995</v>
      </c>
      <c r="D32" s="75">
        <f>AVERAGE(B32:C32)</f>
        <v>0.8194999999999999</v>
      </c>
      <c r="E32">
        <f>(D32-$G$25)/$G$24</f>
        <v>0.55505891498240723</v>
      </c>
    </row>
    <row r="33" spans="1:10" x14ac:dyDescent="0.25">
      <c r="A33" t="s">
        <v>182</v>
      </c>
      <c r="B33" s="114">
        <v>0.81899999999999995</v>
      </c>
      <c r="C33" s="114">
        <v>0.81399999999999995</v>
      </c>
      <c r="D33" s="75">
        <f t="shared" ref="D33:D47" si="2">AVERAGE(B33:C33)</f>
        <v>0.8165</v>
      </c>
      <c r="E33" s="54">
        <f t="shared" ref="E33:E47" si="3">(D33-$G$25)/$G$24</f>
        <v>0.55149946812863115</v>
      </c>
    </row>
    <row r="34" spans="1:10" x14ac:dyDescent="0.25">
      <c r="A34" t="s">
        <v>183</v>
      </c>
      <c r="B34" s="114">
        <v>0.83</v>
      </c>
      <c r="C34" s="114">
        <v>0.86199999999999999</v>
      </c>
      <c r="D34" s="75">
        <f t="shared" si="2"/>
        <v>0.84599999999999997</v>
      </c>
      <c r="E34" s="54">
        <f t="shared" si="3"/>
        <v>0.58650069552409789</v>
      </c>
    </row>
    <row r="35" spans="1:10" x14ac:dyDescent="0.25">
      <c r="A35" t="s">
        <v>184</v>
      </c>
      <c r="B35" s="114">
        <v>0.84099999999999997</v>
      </c>
      <c r="C35" s="114">
        <v>0.86099999999999999</v>
      </c>
      <c r="D35" s="75">
        <f t="shared" si="2"/>
        <v>0.85099999999999998</v>
      </c>
      <c r="E35" s="54">
        <f t="shared" si="3"/>
        <v>0.59243310694705842</v>
      </c>
    </row>
    <row r="36" spans="1:10" x14ac:dyDescent="0.25">
      <c r="B36" s="57"/>
      <c r="C36" s="57"/>
      <c r="D36" s="75" t="e">
        <f t="shared" si="2"/>
        <v>#DIV/0!</v>
      </c>
      <c r="E36" s="54" t="e">
        <f t="shared" si="3"/>
        <v>#DIV/0!</v>
      </c>
    </row>
    <row r="37" spans="1:10" x14ac:dyDescent="0.25">
      <c r="B37" s="57"/>
      <c r="C37" s="57"/>
      <c r="D37" s="75" t="e">
        <f t="shared" si="2"/>
        <v>#DIV/0!</v>
      </c>
      <c r="E37" s="54" t="e">
        <f t="shared" si="3"/>
        <v>#DIV/0!</v>
      </c>
    </row>
    <row r="38" spans="1:10" x14ac:dyDescent="0.25">
      <c r="B38" s="57"/>
      <c r="C38" s="57"/>
      <c r="D38" s="75" t="e">
        <f t="shared" si="2"/>
        <v>#DIV/0!</v>
      </c>
      <c r="E38" s="54" t="e">
        <f t="shared" si="3"/>
        <v>#DIV/0!</v>
      </c>
    </row>
    <row r="39" spans="1:10" x14ac:dyDescent="0.25">
      <c r="B39" s="57"/>
      <c r="C39" s="57"/>
      <c r="D39" s="75" t="e">
        <f t="shared" si="2"/>
        <v>#DIV/0!</v>
      </c>
      <c r="E39" s="54" t="e">
        <f t="shared" si="3"/>
        <v>#DIV/0!</v>
      </c>
    </row>
    <row r="40" spans="1:10" x14ac:dyDescent="0.25">
      <c r="B40" s="57"/>
      <c r="C40" s="57"/>
      <c r="D40" s="75" t="e">
        <f t="shared" si="2"/>
        <v>#DIV/0!</v>
      </c>
      <c r="E40" s="54" t="e">
        <f t="shared" si="3"/>
        <v>#DIV/0!</v>
      </c>
    </row>
    <row r="41" spans="1:10" x14ac:dyDescent="0.25">
      <c r="B41" s="57"/>
      <c r="C41" s="57"/>
      <c r="D41" s="75" t="e">
        <f t="shared" si="2"/>
        <v>#DIV/0!</v>
      </c>
      <c r="E41" s="54" t="e">
        <f t="shared" si="3"/>
        <v>#DIV/0!</v>
      </c>
      <c r="J41" s="75"/>
    </row>
    <row r="42" spans="1:10" x14ac:dyDescent="0.25">
      <c r="B42" s="57"/>
      <c r="C42" s="57"/>
      <c r="D42" s="75" t="e">
        <f t="shared" si="2"/>
        <v>#DIV/0!</v>
      </c>
      <c r="E42" s="54" t="e">
        <f t="shared" si="3"/>
        <v>#DIV/0!</v>
      </c>
    </row>
    <row r="43" spans="1:10" x14ac:dyDescent="0.25">
      <c r="B43" s="57"/>
      <c r="C43" s="57"/>
      <c r="D43" s="75" t="e">
        <f t="shared" si="2"/>
        <v>#DIV/0!</v>
      </c>
      <c r="E43" s="54" t="e">
        <f t="shared" si="3"/>
        <v>#DIV/0!</v>
      </c>
    </row>
    <row r="44" spans="1:10" x14ac:dyDescent="0.25">
      <c r="B44" s="57"/>
      <c r="C44" s="57"/>
      <c r="D44" s="75" t="e">
        <f t="shared" si="2"/>
        <v>#DIV/0!</v>
      </c>
      <c r="E44" s="54" t="e">
        <f t="shared" si="3"/>
        <v>#DIV/0!</v>
      </c>
    </row>
    <row r="45" spans="1:10" x14ac:dyDescent="0.25">
      <c r="B45" s="57"/>
      <c r="C45" s="57"/>
      <c r="D45" s="75" t="e">
        <f t="shared" si="2"/>
        <v>#DIV/0!</v>
      </c>
      <c r="E45" s="54" t="e">
        <f t="shared" si="3"/>
        <v>#DIV/0!</v>
      </c>
    </row>
    <row r="46" spans="1:10" x14ac:dyDescent="0.25">
      <c r="B46" s="57"/>
      <c r="C46" s="57"/>
      <c r="D46" s="75" t="e">
        <f t="shared" si="2"/>
        <v>#DIV/0!</v>
      </c>
      <c r="E46" s="54" t="e">
        <f t="shared" si="3"/>
        <v>#DIV/0!</v>
      </c>
    </row>
    <row r="47" spans="1:10" x14ac:dyDescent="0.25">
      <c r="B47" s="57"/>
      <c r="C47" s="57"/>
      <c r="D47" s="75" t="e">
        <f t="shared" si="2"/>
        <v>#DIV/0!</v>
      </c>
      <c r="E47" s="54" t="e">
        <f t="shared" si="3"/>
        <v>#DIV/0!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workbookViewId="0">
      <selection activeCell="O6" sqref="O6"/>
    </sheetView>
  </sheetViews>
  <sheetFormatPr defaultRowHeight="15" x14ac:dyDescent="0.25"/>
  <cols>
    <col min="1" max="1" width="29" bestFit="1" customWidth="1"/>
    <col min="4" max="4" width="11.28515625" bestFit="1" customWidth="1"/>
  </cols>
  <sheetData>
    <row r="1" spans="1:28" ht="15.75" thickBot="1" x14ac:dyDescent="0.3">
      <c r="A1" s="56" t="s">
        <v>133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pans="1:28" ht="15.75" thickTop="1" x14ac:dyDescent="0.25">
      <c r="A2" s="72" t="s">
        <v>113</v>
      </c>
      <c r="B2" s="72" t="s">
        <v>114</v>
      </c>
      <c r="C2" s="72" t="s">
        <v>115</v>
      </c>
      <c r="D2" s="72" t="s">
        <v>116</v>
      </c>
      <c r="E2" s="72" t="s">
        <v>117</v>
      </c>
      <c r="F2" s="72" t="s">
        <v>118</v>
      </c>
      <c r="G2" s="72" t="s">
        <v>119</v>
      </c>
      <c r="H2" s="72" t="s">
        <v>120</v>
      </c>
      <c r="I2" s="72"/>
      <c r="J2" s="72" t="s">
        <v>121</v>
      </c>
      <c r="K2" s="72" t="s">
        <v>122</v>
      </c>
      <c r="L2" s="72" t="s">
        <v>123</v>
      </c>
      <c r="M2" s="72" t="s">
        <v>124</v>
      </c>
      <c r="N2" s="72" t="s">
        <v>125</v>
      </c>
      <c r="O2" s="72" t="s">
        <v>126</v>
      </c>
    </row>
    <row r="3" spans="1:28" x14ac:dyDescent="0.25">
      <c r="A3" s="58" t="s">
        <v>166</v>
      </c>
      <c r="B3" s="58"/>
      <c r="C3" s="58"/>
      <c r="D3" s="58"/>
      <c r="E3" s="58"/>
      <c r="F3" s="55"/>
      <c r="G3" s="55">
        <v>5634970</v>
      </c>
      <c r="H3" s="58">
        <f>SUM(B3:G3)</f>
        <v>5634970</v>
      </c>
      <c r="I3" s="58"/>
      <c r="J3" s="59">
        <f t="shared" ref="J3:J8" si="0">(B3/H3)*100</f>
        <v>0</v>
      </c>
      <c r="K3" s="59">
        <f>(C3/H3)*100</f>
        <v>0</v>
      </c>
      <c r="L3" s="59">
        <f t="shared" ref="L3:L8" si="1">(D3/H3)*100</f>
        <v>0</v>
      </c>
      <c r="M3" s="59">
        <f t="shared" ref="M3:M8" si="2">(E3/H3)*100</f>
        <v>0</v>
      </c>
      <c r="N3" s="59">
        <f t="shared" ref="N3:N8" si="3">(F3/H3)*100</f>
        <v>0</v>
      </c>
      <c r="O3" s="59">
        <f>(G3/H3)*100</f>
        <v>100</v>
      </c>
    </row>
    <row r="4" spans="1:28" x14ac:dyDescent="0.25">
      <c r="A4" s="52" t="s">
        <v>167</v>
      </c>
      <c r="B4" s="52"/>
      <c r="C4" s="52"/>
      <c r="D4" s="52"/>
      <c r="E4" s="52"/>
      <c r="F4" s="120"/>
      <c r="G4" s="52">
        <v>5868553</v>
      </c>
      <c r="H4" s="58">
        <f>SUM(B4:G4)</f>
        <v>5868553</v>
      </c>
      <c r="I4" s="52"/>
      <c r="J4" s="59">
        <f t="shared" si="0"/>
        <v>0</v>
      </c>
      <c r="K4" s="59">
        <f>(C4/H4)*100</f>
        <v>0</v>
      </c>
      <c r="L4" s="59">
        <f t="shared" si="1"/>
        <v>0</v>
      </c>
      <c r="M4" s="59">
        <f t="shared" si="2"/>
        <v>0</v>
      </c>
      <c r="N4" s="59">
        <f t="shared" si="3"/>
        <v>0</v>
      </c>
      <c r="O4" s="59">
        <f t="shared" ref="O4:O8" si="4">(G4/H4)*100</f>
        <v>100</v>
      </c>
    </row>
    <row r="5" spans="1:28" x14ac:dyDescent="0.25">
      <c r="A5" s="55" t="s">
        <v>185</v>
      </c>
      <c r="B5" s="55"/>
      <c r="C5" s="58"/>
      <c r="D5" s="55"/>
      <c r="E5" s="58"/>
      <c r="F5" s="58"/>
      <c r="G5" s="58">
        <v>5347995</v>
      </c>
      <c r="H5" s="58">
        <f t="shared" ref="H5:H8" si="5">SUM(B5:G5)</f>
        <v>5347995</v>
      </c>
      <c r="I5" s="58"/>
      <c r="J5" s="59">
        <f>(B5/H5)*100</f>
        <v>0</v>
      </c>
      <c r="K5" s="59">
        <f>(C5/H5)*100</f>
        <v>0</v>
      </c>
      <c r="L5" s="59">
        <f t="shared" si="1"/>
        <v>0</v>
      </c>
      <c r="M5" s="59">
        <f t="shared" si="2"/>
        <v>0</v>
      </c>
      <c r="N5" s="59">
        <f t="shared" si="3"/>
        <v>0</v>
      </c>
      <c r="O5" s="59">
        <f t="shared" si="4"/>
        <v>100</v>
      </c>
    </row>
    <row r="6" spans="1:28" x14ac:dyDescent="0.25">
      <c r="A6" s="55" t="s">
        <v>186</v>
      </c>
      <c r="B6" s="55"/>
      <c r="C6" s="58"/>
      <c r="D6" s="58"/>
      <c r="E6" s="55"/>
      <c r="F6" s="55"/>
      <c r="G6" s="55">
        <v>5523338</v>
      </c>
      <c r="H6" s="58">
        <f t="shared" si="5"/>
        <v>5523338</v>
      </c>
      <c r="I6" s="58"/>
      <c r="J6" s="59">
        <f t="shared" si="0"/>
        <v>0</v>
      </c>
      <c r="K6" s="59">
        <f t="shared" ref="K6:K8" si="6">(C6/H6)*100</f>
        <v>0</v>
      </c>
      <c r="L6" s="59">
        <f t="shared" si="1"/>
        <v>0</v>
      </c>
      <c r="M6" s="59">
        <f t="shared" si="2"/>
        <v>0</v>
      </c>
      <c r="N6" s="59">
        <f t="shared" si="3"/>
        <v>0</v>
      </c>
      <c r="O6" s="59">
        <f t="shared" si="4"/>
        <v>100</v>
      </c>
    </row>
    <row r="7" spans="1:28" x14ac:dyDescent="0.25">
      <c r="A7" s="55" t="s">
        <v>187</v>
      </c>
      <c r="B7" s="55"/>
      <c r="C7" s="58"/>
      <c r="D7" s="55"/>
      <c r="E7" s="55"/>
      <c r="F7" s="55"/>
      <c r="G7" s="55">
        <v>5113984</v>
      </c>
      <c r="H7" s="58">
        <f t="shared" si="5"/>
        <v>5113984</v>
      </c>
      <c r="I7" s="58"/>
      <c r="J7" s="59">
        <f t="shared" si="0"/>
        <v>0</v>
      </c>
      <c r="K7" s="59">
        <f t="shared" si="6"/>
        <v>0</v>
      </c>
      <c r="L7" s="59">
        <f t="shared" si="1"/>
        <v>0</v>
      </c>
      <c r="M7" s="59">
        <f t="shared" si="2"/>
        <v>0</v>
      </c>
      <c r="N7" s="59">
        <f t="shared" si="3"/>
        <v>0</v>
      </c>
      <c r="O7" s="59">
        <f t="shared" si="4"/>
        <v>100</v>
      </c>
    </row>
    <row r="8" spans="1:28" x14ac:dyDescent="0.25">
      <c r="A8" s="55" t="s">
        <v>188</v>
      </c>
      <c r="B8" s="55"/>
      <c r="C8" s="58"/>
      <c r="D8" s="55"/>
      <c r="E8" s="55"/>
      <c r="F8" s="55"/>
      <c r="G8" s="55">
        <v>5563731</v>
      </c>
      <c r="H8" s="58">
        <f t="shared" si="5"/>
        <v>5563731</v>
      </c>
      <c r="I8" s="58"/>
      <c r="J8" s="59">
        <f t="shared" si="0"/>
        <v>0</v>
      </c>
      <c r="K8" s="59">
        <f t="shared" si="6"/>
        <v>0</v>
      </c>
      <c r="L8" s="59">
        <f t="shared" si="1"/>
        <v>0</v>
      </c>
      <c r="M8" s="59">
        <f t="shared" si="2"/>
        <v>0</v>
      </c>
      <c r="N8" s="59">
        <f t="shared" si="3"/>
        <v>0</v>
      </c>
      <c r="O8" s="59">
        <f t="shared" si="4"/>
        <v>100</v>
      </c>
      <c r="AB8" t="e">
        <f>'Conversion Deio2'!M8\</f>
        <v>#NAME?</v>
      </c>
    </row>
    <row r="9" spans="1:28" x14ac:dyDescent="0.25">
      <c r="A9" s="55"/>
      <c r="B9" s="55"/>
      <c r="C9" s="58"/>
      <c r="D9" s="55"/>
      <c r="E9" s="55"/>
      <c r="F9" s="55"/>
      <c r="G9" s="55"/>
      <c r="H9" s="58">
        <f t="shared" ref="H9:H20" si="7">SUM(B9:G9)</f>
        <v>0</v>
      </c>
      <c r="I9" s="58"/>
      <c r="J9" s="59" t="e">
        <f t="shared" ref="J9:J20" si="8">(B9/H9)*100</f>
        <v>#DIV/0!</v>
      </c>
      <c r="K9" s="59" t="e">
        <f t="shared" ref="K9:K20" si="9">(C9/H9)*100</f>
        <v>#DIV/0!</v>
      </c>
      <c r="L9" s="59" t="e">
        <f t="shared" ref="L9:L20" si="10">(D9/H9)*100</f>
        <v>#DIV/0!</v>
      </c>
      <c r="M9" s="59" t="e">
        <f t="shared" ref="M9:M20" si="11">(E9/H9)*100</f>
        <v>#DIV/0!</v>
      </c>
      <c r="N9" s="59" t="e">
        <f t="shared" ref="N9:N20" si="12">(F9/H9)*100</f>
        <v>#DIV/0!</v>
      </c>
      <c r="O9" s="59" t="e">
        <f t="shared" ref="O9:O20" si="13">(G9/H9)*100</f>
        <v>#DIV/0!</v>
      </c>
    </row>
    <row r="10" spans="1:28" x14ac:dyDescent="0.25">
      <c r="A10" s="55"/>
      <c r="B10" s="55"/>
      <c r="C10" s="55"/>
      <c r="D10" s="78"/>
      <c r="E10" s="55"/>
      <c r="G10" s="55"/>
      <c r="H10" s="58">
        <f t="shared" si="7"/>
        <v>0</v>
      </c>
      <c r="I10" s="58"/>
      <c r="J10" s="59" t="e">
        <f t="shared" si="8"/>
        <v>#DIV/0!</v>
      </c>
      <c r="K10" s="59" t="e">
        <f t="shared" si="9"/>
        <v>#DIV/0!</v>
      </c>
      <c r="L10" s="59" t="e">
        <f t="shared" si="10"/>
        <v>#DIV/0!</v>
      </c>
      <c r="M10" s="59" t="e">
        <f t="shared" si="11"/>
        <v>#DIV/0!</v>
      </c>
      <c r="N10" s="59" t="e">
        <f>(G3/H10)*100</f>
        <v>#DIV/0!</v>
      </c>
      <c r="O10" s="59" t="e">
        <f t="shared" si="13"/>
        <v>#DIV/0!</v>
      </c>
    </row>
    <row r="11" spans="1:28" x14ac:dyDescent="0.25">
      <c r="A11" s="55"/>
      <c r="B11" s="55"/>
      <c r="C11" s="55"/>
      <c r="D11" s="55"/>
      <c r="E11" s="55"/>
      <c r="F11" s="55"/>
      <c r="G11" s="55"/>
      <c r="H11" s="58">
        <f t="shared" si="7"/>
        <v>0</v>
      </c>
      <c r="I11" s="58"/>
      <c r="J11" s="59" t="e">
        <f t="shared" si="8"/>
        <v>#DIV/0!</v>
      </c>
      <c r="K11" s="59" t="e">
        <f t="shared" si="9"/>
        <v>#DIV/0!</v>
      </c>
      <c r="L11" s="59" t="e">
        <f t="shared" si="10"/>
        <v>#DIV/0!</v>
      </c>
      <c r="M11" s="59" t="e">
        <f t="shared" si="11"/>
        <v>#DIV/0!</v>
      </c>
      <c r="N11" s="59" t="e">
        <f t="shared" si="12"/>
        <v>#DIV/0!</v>
      </c>
      <c r="O11" s="59" t="e">
        <f t="shared" si="13"/>
        <v>#DIV/0!</v>
      </c>
    </row>
    <row r="12" spans="1:28" x14ac:dyDescent="0.25">
      <c r="A12" s="55"/>
      <c r="B12" s="55"/>
      <c r="C12" s="55"/>
      <c r="D12" s="55"/>
      <c r="E12" s="55"/>
      <c r="F12" s="55"/>
      <c r="G12" s="55"/>
      <c r="H12" s="58">
        <f t="shared" si="7"/>
        <v>0</v>
      </c>
      <c r="I12" s="58"/>
      <c r="J12" s="59" t="e">
        <f t="shared" si="8"/>
        <v>#DIV/0!</v>
      </c>
      <c r="K12" s="59" t="e">
        <f t="shared" si="9"/>
        <v>#DIV/0!</v>
      </c>
      <c r="L12" s="59" t="e">
        <f t="shared" si="10"/>
        <v>#DIV/0!</v>
      </c>
      <c r="M12" s="59" t="e">
        <f t="shared" si="11"/>
        <v>#DIV/0!</v>
      </c>
      <c r="N12" s="59" t="e">
        <f t="shared" si="12"/>
        <v>#DIV/0!</v>
      </c>
      <c r="O12" s="59" t="e">
        <f t="shared" si="13"/>
        <v>#DIV/0!</v>
      </c>
    </row>
    <row r="13" spans="1:28" x14ac:dyDescent="0.25">
      <c r="A13" s="55"/>
      <c r="B13" s="55"/>
      <c r="C13" s="55"/>
      <c r="D13" s="55"/>
      <c r="E13" s="55"/>
      <c r="F13" s="58"/>
      <c r="G13" s="55"/>
      <c r="H13" s="58">
        <f t="shared" si="7"/>
        <v>0</v>
      </c>
      <c r="I13" s="58"/>
      <c r="J13" s="59" t="e">
        <f t="shared" si="8"/>
        <v>#DIV/0!</v>
      </c>
      <c r="K13" s="59" t="e">
        <f t="shared" si="9"/>
        <v>#DIV/0!</v>
      </c>
      <c r="L13" s="59" t="e">
        <f t="shared" si="10"/>
        <v>#DIV/0!</v>
      </c>
      <c r="M13" s="59" t="e">
        <f t="shared" si="11"/>
        <v>#DIV/0!</v>
      </c>
      <c r="N13" s="59" t="e">
        <f t="shared" si="12"/>
        <v>#DIV/0!</v>
      </c>
      <c r="O13" s="59" t="e">
        <f t="shared" si="13"/>
        <v>#DIV/0!</v>
      </c>
    </row>
    <row r="14" spans="1:28" x14ac:dyDescent="0.25">
      <c r="A14" s="55"/>
      <c r="B14" s="55"/>
      <c r="C14" s="55"/>
      <c r="D14" s="55"/>
      <c r="E14" s="55"/>
      <c r="F14" s="55"/>
      <c r="G14" s="55"/>
      <c r="H14" s="58">
        <f t="shared" si="7"/>
        <v>0</v>
      </c>
      <c r="I14" s="58"/>
      <c r="J14" s="59" t="e">
        <f t="shared" si="8"/>
        <v>#DIV/0!</v>
      </c>
      <c r="K14" s="59" t="e">
        <f t="shared" si="9"/>
        <v>#DIV/0!</v>
      </c>
      <c r="L14" s="59" t="e">
        <f t="shared" si="10"/>
        <v>#DIV/0!</v>
      </c>
      <c r="M14" s="59" t="e">
        <f t="shared" si="11"/>
        <v>#DIV/0!</v>
      </c>
      <c r="N14" s="59" t="e">
        <f t="shared" si="12"/>
        <v>#DIV/0!</v>
      </c>
      <c r="O14" s="59" t="e">
        <f t="shared" si="13"/>
        <v>#DIV/0!</v>
      </c>
    </row>
    <row r="15" spans="1:28" x14ac:dyDescent="0.25">
      <c r="A15" s="55"/>
      <c r="B15" s="55"/>
      <c r="C15" s="55"/>
      <c r="D15" s="55"/>
      <c r="E15" s="55"/>
      <c r="F15" s="58"/>
      <c r="G15" s="55"/>
      <c r="H15" s="58">
        <f t="shared" si="7"/>
        <v>0</v>
      </c>
      <c r="I15" s="58"/>
      <c r="J15" s="59" t="e">
        <f t="shared" si="8"/>
        <v>#DIV/0!</v>
      </c>
      <c r="K15" s="59" t="e">
        <f t="shared" si="9"/>
        <v>#DIV/0!</v>
      </c>
      <c r="L15" s="59" t="e">
        <f t="shared" si="10"/>
        <v>#DIV/0!</v>
      </c>
      <c r="M15" s="59" t="e">
        <f t="shared" si="11"/>
        <v>#DIV/0!</v>
      </c>
      <c r="N15" s="59" t="e">
        <f t="shared" si="12"/>
        <v>#DIV/0!</v>
      </c>
      <c r="O15" s="59" t="e">
        <f t="shared" si="13"/>
        <v>#DIV/0!</v>
      </c>
    </row>
    <row r="16" spans="1:28" x14ac:dyDescent="0.25">
      <c r="A16" s="55"/>
      <c r="B16" s="55"/>
      <c r="C16" s="55"/>
      <c r="D16" s="55"/>
      <c r="E16" s="55"/>
      <c r="F16" s="58"/>
      <c r="G16" s="55"/>
      <c r="H16" s="58">
        <f t="shared" si="7"/>
        <v>0</v>
      </c>
      <c r="I16" s="58"/>
      <c r="J16" s="59" t="e">
        <f t="shared" si="8"/>
        <v>#DIV/0!</v>
      </c>
      <c r="K16" s="59" t="e">
        <f t="shared" si="9"/>
        <v>#DIV/0!</v>
      </c>
      <c r="L16" s="59" t="e">
        <f t="shared" si="10"/>
        <v>#DIV/0!</v>
      </c>
      <c r="M16" s="59" t="e">
        <f t="shared" si="11"/>
        <v>#DIV/0!</v>
      </c>
      <c r="N16" s="59" t="e">
        <f t="shared" si="12"/>
        <v>#DIV/0!</v>
      </c>
      <c r="O16" s="59" t="e">
        <f t="shared" si="13"/>
        <v>#DIV/0!</v>
      </c>
    </row>
    <row r="17" spans="1:15" x14ac:dyDescent="0.25">
      <c r="B17" s="55"/>
      <c r="C17" s="55"/>
      <c r="D17" s="55"/>
      <c r="E17" s="55"/>
      <c r="F17" s="58"/>
      <c r="G17" s="55"/>
      <c r="H17" s="58">
        <f t="shared" si="7"/>
        <v>0</v>
      </c>
      <c r="I17" s="58"/>
      <c r="J17" s="59" t="e">
        <f t="shared" si="8"/>
        <v>#DIV/0!</v>
      </c>
      <c r="K17" s="59" t="e">
        <f t="shared" si="9"/>
        <v>#DIV/0!</v>
      </c>
      <c r="L17" s="59" t="e">
        <f t="shared" si="10"/>
        <v>#DIV/0!</v>
      </c>
      <c r="M17" s="59" t="e">
        <f t="shared" si="11"/>
        <v>#DIV/0!</v>
      </c>
      <c r="N17" s="59" t="e">
        <f t="shared" si="12"/>
        <v>#DIV/0!</v>
      </c>
      <c r="O17" s="59" t="e">
        <f t="shared" si="13"/>
        <v>#DIV/0!</v>
      </c>
    </row>
    <row r="18" spans="1:15" x14ac:dyDescent="0.25">
      <c r="B18" s="55"/>
      <c r="C18" s="58"/>
      <c r="D18" s="55"/>
      <c r="E18" s="55"/>
      <c r="F18" s="58"/>
      <c r="G18" s="55"/>
      <c r="H18" s="58">
        <f t="shared" si="7"/>
        <v>0</v>
      </c>
      <c r="I18" s="58"/>
      <c r="J18" s="59" t="e">
        <f t="shared" si="8"/>
        <v>#DIV/0!</v>
      </c>
      <c r="K18" s="59" t="e">
        <f t="shared" si="9"/>
        <v>#DIV/0!</v>
      </c>
      <c r="L18" s="59" t="e">
        <f t="shared" si="10"/>
        <v>#DIV/0!</v>
      </c>
      <c r="M18" s="59" t="e">
        <f t="shared" si="11"/>
        <v>#DIV/0!</v>
      </c>
      <c r="N18" s="59" t="e">
        <f t="shared" si="12"/>
        <v>#DIV/0!</v>
      </c>
      <c r="O18" s="59" t="e">
        <f t="shared" si="13"/>
        <v>#DIV/0!</v>
      </c>
    </row>
    <row r="19" spans="1:15" x14ac:dyDescent="0.25">
      <c r="B19" s="55"/>
      <c r="C19" s="55"/>
      <c r="D19" s="55"/>
      <c r="E19" s="55"/>
      <c r="F19" s="55"/>
      <c r="G19" s="55"/>
      <c r="H19" s="58">
        <f t="shared" si="7"/>
        <v>0</v>
      </c>
      <c r="I19" s="58"/>
      <c r="J19" s="59" t="e">
        <f t="shared" si="8"/>
        <v>#DIV/0!</v>
      </c>
      <c r="K19" s="59" t="e">
        <f t="shared" si="9"/>
        <v>#DIV/0!</v>
      </c>
      <c r="L19" s="59" t="e">
        <f t="shared" si="10"/>
        <v>#DIV/0!</v>
      </c>
      <c r="M19" s="59" t="e">
        <f t="shared" si="11"/>
        <v>#DIV/0!</v>
      </c>
      <c r="N19" s="59" t="e">
        <f t="shared" si="12"/>
        <v>#DIV/0!</v>
      </c>
      <c r="O19" s="59" t="e">
        <f t="shared" si="13"/>
        <v>#DIV/0!</v>
      </c>
    </row>
    <row r="20" spans="1:15" x14ac:dyDescent="0.25">
      <c r="B20" s="55"/>
      <c r="C20" s="58"/>
      <c r="D20" s="55"/>
      <c r="E20" s="55"/>
      <c r="F20" s="55"/>
      <c r="G20" s="55"/>
      <c r="H20" s="58">
        <f t="shared" si="7"/>
        <v>0</v>
      </c>
      <c r="I20" s="58"/>
      <c r="J20" s="59" t="e">
        <f t="shared" si="8"/>
        <v>#DIV/0!</v>
      </c>
      <c r="K20" s="59" t="e">
        <f t="shared" si="9"/>
        <v>#DIV/0!</v>
      </c>
      <c r="L20" s="59" t="e">
        <f t="shared" si="10"/>
        <v>#DIV/0!</v>
      </c>
      <c r="M20" s="59" t="e">
        <f t="shared" si="11"/>
        <v>#DIV/0!</v>
      </c>
      <c r="N20" s="59" t="e">
        <f t="shared" si="12"/>
        <v>#DIV/0!</v>
      </c>
      <c r="O20" s="59" t="e">
        <f t="shared" si="13"/>
        <v>#DIV/0!</v>
      </c>
    </row>
    <row r="21" spans="1:15" x14ac:dyDescent="0.25">
      <c r="A21" s="58"/>
      <c r="B21" s="55"/>
      <c r="C21" s="55"/>
      <c r="D21" s="55"/>
      <c r="E21" s="55"/>
      <c r="F21" s="58"/>
      <c r="G21" s="58"/>
      <c r="H21" s="58"/>
      <c r="I21" s="58"/>
      <c r="J21" s="59"/>
      <c r="K21" s="59"/>
      <c r="L21" s="59"/>
      <c r="M21" s="59"/>
      <c r="N21" s="59"/>
      <c r="O21" s="59"/>
    </row>
    <row r="22" spans="1:15" x14ac:dyDescent="0.25">
      <c r="A22" s="58"/>
      <c r="B22" s="55"/>
      <c r="C22" s="55"/>
      <c r="D22" s="55"/>
      <c r="E22" s="55"/>
      <c r="F22" s="58"/>
      <c r="G22" s="58"/>
      <c r="H22" s="58"/>
      <c r="I22" s="58"/>
      <c r="J22" s="59"/>
      <c r="K22" s="59"/>
      <c r="L22" s="59"/>
      <c r="M22" s="59"/>
      <c r="N22" s="59"/>
      <c r="O22" s="59"/>
    </row>
    <row r="23" spans="1:15" x14ac:dyDescent="0.25">
      <c r="A23" s="58"/>
      <c r="B23" s="76"/>
      <c r="C23" s="58"/>
      <c r="D23" s="55"/>
      <c r="E23" s="55"/>
      <c r="F23" s="58"/>
      <c r="G23" s="58"/>
      <c r="H23" s="58"/>
      <c r="I23" s="58"/>
      <c r="J23" s="59"/>
      <c r="K23" s="59"/>
      <c r="L23" s="59"/>
      <c r="M23" s="59"/>
      <c r="N23" s="59"/>
      <c r="O23" s="59"/>
    </row>
    <row r="24" spans="1:15" x14ac:dyDescent="0.25">
      <c r="A24" s="58"/>
      <c r="B24" s="55"/>
      <c r="C24" s="58"/>
      <c r="D24" s="55"/>
      <c r="E24" s="55"/>
      <c r="F24" s="58"/>
      <c r="G24" s="58"/>
      <c r="H24" s="58"/>
      <c r="I24" s="58"/>
      <c r="J24" s="59"/>
      <c r="K24" s="59"/>
      <c r="L24" s="59"/>
      <c r="M24" s="59"/>
      <c r="N24" s="59"/>
      <c r="O24" s="59"/>
    </row>
    <row r="25" spans="1:15" x14ac:dyDescent="0.25">
      <c r="A25" s="58"/>
      <c r="B25" s="55"/>
      <c r="C25" s="58"/>
      <c r="D25" s="55"/>
      <c r="E25" s="55"/>
      <c r="F25" s="58"/>
      <c r="G25" s="58"/>
      <c r="H25" s="58"/>
      <c r="I25" s="58"/>
      <c r="J25" s="59"/>
      <c r="K25" s="59"/>
      <c r="L25" s="59"/>
      <c r="M25" s="59"/>
      <c r="N25" s="59"/>
      <c r="O25" s="59"/>
    </row>
    <row r="26" spans="1:15" x14ac:dyDescent="0.25">
      <c r="A26" s="58"/>
      <c r="B26" s="55"/>
      <c r="C26" s="55"/>
      <c r="D26" s="55"/>
      <c r="E26" s="55"/>
      <c r="F26" s="58"/>
      <c r="G26" s="58"/>
      <c r="H26" s="58"/>
      <c r="I26" s="58"/>
      <c r="J26" s="59"/>
      <c r="K26" s="59"/>
      <c r="L26" s="59"/>
      <c r="M26" s="59"/>
      <c r="N26" s="59"/>
      <c r="O26" s="59"/>
    </row>
    <row r="27" spans="1:15" x14ac:dyDescent="0.25">
      <c r="A27" s="58"/>
      <c r="B27" s="55"/>
      <c r="C27" s="58"/>
      <c r="D27" s="55"/>
      <c r="E27" s="55"/>
      <c r="F27" s="58"/>
      <c r="G27" s="58"/>
      <c r="H27" s="58"/>
      <c r="I27" s="58"/>
      <c r="J27" s="59"/>
      <c r="K27" s="59"/>
      <c r="L27" s="59"/>
      <c r="M27" s="59"/>
      <c r="N27" s="59"/>
      <c r="O27" s="59"/>
    </row>
    <row r="28" spans="1:15" x14ac:dyDescent="0.25">
      <c r="A28" s="58"/>
      <c r="B28" s="55"/>
      <c r="C28" s="58"/>
      <c r="D28" s="55"/>
      <c r="E28" s="55"/>
      <c r="F28" s="58"/>
      <c r="G28" s="58"/>
      <c r="H28" s="58"/>
      <c r="I28" s="58"/>
      <c r="J28" s="59"/>
      <c r="K28" s="59"/>
      <c r="L28" s="59"/>
      <c r="M28" s="59"/>
      <c r="N28" s="59"/>
      <c r="O28" s="59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68"/>
  <sheetViews>
    <sheetView zoomScale="80" zoomScaleNormal="80" workbookViewId="0">
      <selection activeCell="L40" sqref="L40"/>
    </sheetView>
  </sheetViews>
  <sheetFormatPr defaultColWidth="8.85546875" defaultRowHeight="15" x14ac:dyDescent="0.25"/>
  <cols>
    <col min="1" max="1" width="8.85546875" style="5"/>
    <col min="2" max="2" width="22" style="5" bestFit="1" customWidth="1"/>
    <col min="3" max="3" width="23.42578125" style="5" bestFit="1" customWidth="1"/>
    <col min="4" max="4" width="16.5703125" style="5" bestFit="1" customWidth="1"/>
    <col min="5" max="5" width="16" style="5" bestFit="1" customWidth="1"/>
    <col min="6" max="6" width="14.28515625" style="5" bestFit="1" customWidth="1"/>
    <col min="7" max="7" width="9.140625" style="5" customWidth="1"/>
    <col min="8" max="8" width="14.7109375" style="5" customWidth="1"/>
    <col min="9" max="13" width="8.85546875" style="5"/>
    <col min="14" max="14" width="9.28515625" style="5" bestFit="1" customWidth="1"/>
    <col min="15" max="19" width="8.85546875" style="5"/>
    <col min="20" max="20" width="10.7109375" style="5" bestFit="1" customWidth="1"/>
    <col min="21" max="25" width="8.85546875" style="5"/>
    <col min="26" max="26" width="10.7109375" style="5" bestFit="1" customWidth="1"/>
    <col min="27" max="29" width="9.42578125" style="5" bestFit="1" customWidth="1"/>
    <col min="30" max="31" width="8.85546875" style="5"/>
    <col min="32" max="32" width="10.7109375" style="5" bestFit="1" customWidth="1"/>
    <col min="33" max="33" width="8.85546875" style="5"/>
    <col min="34" max="34" width="11.85546875" style="5" customWidth="1"/>
    <col min="35" max="35" width="8.85546875" style="5"/>
    <col min="36" max="36" width="13.85546875" style="5" customWidth="1"/>
    <col min="37" max="37" width="9.5703125" style="5" bestFit="1" customWidth="1"/>
    <col min="38" max="38" width="11.28515625" style="5" bestFit="1" customWidth="1"/>
    <col min="39" max="43" width="8.85546875" style="5"/>
    <col min="44" max="44" width="10.7109375" style="5" bestFit="1" customWidth="1"/>
    <col min="45" max="16384" width="8.85546875" style="5"/>
  </cols>
  <sheetData>
    <row r="1" spans="1:44" ht="15.75" thickBot="1" x14ac:dyDescent="0.3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</row>
    <row r="2" spans="1:44" ht="15.75" thickBot="1" x14ac:dyDescent="0.3">
      <c r="A2" s="147" t="s">
        <v>0</v>
      </c>
      <c r="B2" s="148"/>
      <c r="C2" s="3" t="s">
        <v>110</v>
      </c>
      <c r="D2" s="4" t="s">
        <v>1</v>
      </c>
      <c r="E2" s="149" t="s">
        <v>2</v>
      </c>
      <c r="F2" s="150"/>
      <c r="G2" s="151"/>
      <c r="H2" s="3"/>
      <c r="I2" s="13" t="s">
        <v>3</v>
      </c>
      <c r="J2" s="13" t="s">
        <v>4</v>
      </c>
      <c r="K2" s="13" t="s">
        <v>5</v>
      </c>
      <c r="L2" s="13" t="s">
        <v>85</v>
      </c>
      <c r="M2" s="13" t="s">
        <v>86</v>
      </c>
      <c r="N2" s="13" t="s">
        <v>87</v>
      </c>
      <c r="O2" s="14" t="s">
        <v>6</v>
      </c>
      <c r="P2" s="14" t="s">
        <v>7</v>
      </c>
      <c r="Q2" s="14" t="s">
        <v>8</v>
      </c>
      <c r="R2" s="14" t="s">
        <v>88</v>
      </c>
      <c r="S2" s="14" t="s">
        <v>89</v>
      </c>
      <c r="T2" s="14" t="s">
        <v>90</v>
      </c>
      <c r="U2" s="15" t="s">
        <v>9</v>
      </c>
      <c r="V2" s="15" t="s">
        <v>10</v>
      </c>
      <c r="W2" s="15" t="s">
        <v>11</v>
      </c>
      <c r="X2" s="15" t="s">
        <v>91</v>
      </c>
      <c r="Y2" s="15" t="s">
        <v>92</v>
      </c>
      <c r="Z2" s="15" t="s">
        <v>93</v>
      </c>
      <c r="AA2" s="16" t="s">
        <v>12</v>
      </c>
      <c r="AB2" s="16" t="s">
        <v>13</v>
      </c>
      <c r="AC2" s="16" t="s">
        <v>14</v>
      </c>
      <c r="AD2" s="17" t="s">
        <v>94</v>
      </c>
      <c r="AE2" s="17" t="s">
        <v>95</v>
      </c>
      <c r="AF2" s="17" t="s">
        <v>96</v>
      </c>
      <c r="AG2" s="18" t="s">
        <v>15</v>
      </c>
      <c r="AH2" s="19" t="s">
        <v>16</v>
      </c>
      <c r="AI2" s="19" t="s">
        <v>17</v>
      </c>
      <c r="AJ2" s="20" t="s">
        <v>97</v>
      </c>
      <c r="AK2" s="20" t="s">
        <v>98</v>
      </c>
      <c r="AL2" s="20" t="s">
        <v>99</v>
      </c>
      <c r="AM2" s="21" t="s">
        <v>18</v>
      </c>
      <c r="AN2" s="22" t="s">
        <v>19</v>
      </c>
      <c r="AO2" s="22" t="s">
        <v>20</v>
      </c>
      <c r="AP2" s="23" t="s">
        <v>100</v>
      </c>
      <c r="AQ2" s="23" t="s">
        <v>101</v>
      </c>
      <c r="AR2" s="23" t="s">
        <v>102</v>
      </c>
    </row>
    <row r="3" spans="1:44" ht="15.75" thickBot="1" x14ac:dyDescent="0.3">
      <c r="A3"/>
      <c r="B3"/>
      <c r="C3"/>
      <c r="D3"/>
      <c r="E3"/>
      <c r="F3"/>
      <c r="G3"/>
      <c r="H3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</row>
    <row r="4" spans="1:44" x14ac:dyDescent="0.25">
      <c r="A4"/>
      <c r="B4" s="134" t="s">
        <v>109</v>
      </c>
      <c r="C4" s="134"/>
      <c r="D4" s="25"/>
      <c r="E4"/>
      <c r="F4"/>
      <c r="G4"/>
      <c r="H4" s="27"/>
      <c r="I4" s="36">
        <f>'Conversion Deio2'!J3</f>
        <v>0</v>
      </c>
      <c r="J4" s="37">
        <f>'Conversion Deio2'!J4</f>
        <v>0</v>
      </c>
      <c r="K4" s="37">
        <f>AVERAGE(I4)</f>
        <v>0</v>
      </c>
      <c r="L4" s="37"/>
      <c r="M4" s="37"/>
      <c r="N4" s="37"/>
      <c r="O4" s="40">
        <f>'Conversion Deio2'!K3</f>
        <v>0</v>
      </c>
      <c r="P4" s="40">
        <f>'Conversion Deio2'!K4</f>
        <v>0</v>
      </c>
      <c r="Q4" s="40">
        <f>AVERAGE(O4:P4)</f>
        <v>0</v>
      </c>
      <c r="R4" s="40"/>
      <c r="S4" s="40"/>
      <c r="T4" s="40"/>
      <c r="U4" s="42">
        <f>'Conversion Deio2'!L3</f>
        <v>0</v>
      </c>
      <c r="V4" s="42">
        <f>'Conversion Deio2'!L4</f>
        <v>0</v>
      </c>
      <c r="W4" s="42">
        <f>AVERAGE(U4)</f>
        <v>0</v>
      </c>
      <c r="X4" s="42"/>
      <c r="Y4" s="42"/>
      <c r="Z4" s="42"/>
      <c r="AA4" s="44">
        <f>'Conversion Deio2'!M3</f>
        <v>0</v>
      </c>
      <c r="AB4" s="44">
        <f>'Conversion Deio2'!M4</f>
        <v>0</v>
      </c>
      <c r="AC4" s="44">
        <f>AVERAGE(AA4)</f>
        <v>0</v>
      </c>
      <c r="AD4" s="44"/>
      <c r="AE4" s="44"/>
      <c r="AF4" s="44"/>
      <c r="AG4" s="46">
        <f>'Conversion Deio2'!N3</f>
        <v>0</v>
      </c>
      <c r="AH4" s="46">
        <f>'Conversion Deio2'!N4</f>
        <v>0</v>
      </c>
      <c r="AI4" s="46">
        <f>AVERAGE(AG4:AH4)</f>
        <v>0</v>
      </c>
      <c r="AJ4" s="46"/>
      <c r="AK4" s="46"/>
      <c r="AL4" s="46"/>
      <c r="AM4" s="48">
        <f>'Conversion Deio2'!O3</f>
        <v>100</v>
      </c>
      <c r="AN4" s="48">
        <f>'Conversion Deio2'!O4</f>
        <v>100</v>
      </c>
      <c r="AO4" s="48">
        <f>AVERAGE(AM4:AN4)</f>
        <v>100</v>
      </c>
      <c r="AP4" s="48"/>
      <c r="AQ4" s="48"/>
      <c r="AR4" s="49"/>
    </row>
    <row r="5" spans="1:44" ht="15.75" thickBot="1" x14ac:dyDescent="0.3">
      <c r="A5" s="52"/>
      <c r="B5" s="135"/>
      <c r="C5" s="135"/>
      <c r="D5" s="53"/>
      <c r="E5" s="52"/>
      <c r="F5" s="52"/>
      <c r="G5" s="52"/>
      <c r="H5" s="90" t="s">
        <v>108</v>
      </c>
      <c r="I5" s="38"/>
      <c r="J5" s="39"/>
      <c r="K5" s="39">
        <f>_xlfn.STDEV.S(I4:J4)</f>
        <v>0</v>
      </c>
      <c r="L5" s="39"/>
      <c r="M5" s="39"/>
      <c r="N5" s="39"/>
      <c r="O5" s="41"/>
      <c r="P5" s="41"/>
      <c r="Q5" s="41"/>
      <c r="R5" s="41"/>
      <c r="S5" s="41"/>
      <c r="T5" s="41"/>
      <c r="U5" s="43"/>
      <c r="V5" s="43"/>
      <c r="W5" s="43"/>
      <c r="X5" s="43"/>
      <c r="Y5" s="43"/>
      <c r="Z5" s="43"/>
      <c r="AA5" s="45"/>
      <c r="AB5" s="45"/>
      <c r="AC5" s="45"/>
      <c r="AD5" s="45"/>
      <c r="AE5" s="45"/>
      <c r="AF5" s="45"/>
      <c r="AG5" s="47"/>
      <c r="AH5" s="47"/>
      <c r="AI5" s="47"/>
      <c r="AJ5" s="47"/>
      <c r="AK5" s="47"/>
      <c r="AL5" s="47"/>
      <c r="AM5" s="50"/>
      <c r="AN5" s="50"/>
      <c r="AO5" s="50"/>
      <c r="AP5" s="50"/>
      <c r="AQ5" s="50"/>
      <c r="AR5" s="51"/>
    </row>
    <row r="6" spans="1:44" x14ac:dyDescent="0.25">
      <c r="A6" s="138">
        <v>1</v>
      </c>
      <c r="B6" s="129" t="s">
        <v>189</v>
      </c>
      <c r="C6" s="134">
        <v>120</v>
      </c>
      <c r="D6" s="152"/>
      <c r="E6"/>
      <c r="F6" s="136">
        <f>'Protein concentration'!E34</f>
        <v>0.58650069552409789</v>
      </c>
      <c r="G6"/>
      <c r="H6"/>
      <c r="I6" s="28">
        <f>'Conversion Deio2'!J5</f>
        <v>0</v>
      </c>
      <c r="J6" s="28">
        <f>'Conversion Deio2'!J6</f>
        <v>0</v>
      </c>
      <c r="K6" s="29">
        <f t="shared" ref="K6:K12" si="0">AVERAGE(I6:J6)</f>
        <v>0</v>
      </c>
      <c r="L6" s="29">
        <f>I6-$K$4</f>
        <v>0</v>
      </c>
      <c r="M6" s="29">
        <f>J6-$K$4</f>
        <v>0</v>
      </c>
      <c r="N6" s="29">
        <f>K6-$K$4</f>
        <v>0</v>
      </c>
      <c r="O6" s="30">
        <f>'Conversion Deio2'!K5</f>
        <v>0</v>
      </c>
      <c r="P6" s="30">
        <f>'Conversion Deio2'!K6</f>
        <v>0</v>
      </c>
      <c r="Q6" s="30">
        <f>AVERAGE(O6:P6)</f>
        <v>0</v>
      </c>
      <c r="R6" s="30">
        <f>O6-$Q$4</f>
        <v>0</v>
      </c>
      <c r="S6" s="30">
        <f>P6-$Q$4</f>
        <v>0</v>
      </c>
      <c r="T6" s="30">
        <f>Q6-$Q$4</f>
        <v>0</v>
      </c>
      <c r="U6" s="31">
        <f>'Conversion Deio2'!L5</f>
        <v>0</v>
      </c>
      <c r="V6" s="31">
        <f>'Conversion Deio2'!L6</f>
        <v>0</v>
      </c>
      <c r="W6" s="31">
        <f>AVERAGE(U6:V6)</f>
        <v>0</v>
      </c>
      <c r="X6" s="31">
        <f>U6-$W$4</f>
        <v>0</v>
      </c>
      <c r="Y6" s="31">
        <f>V6-$W$4</f>
        <v>0</v>
      </c>
      <c r="Z6" s="31">
        <f>AVERAGE(W6-$W$4)</f>
        <v>0</v>
      </c>
      <c r="AA6" s="32">
        <f>'Conversion Deio2'!M5</f>
        <v>0</v>
      </c>
      <c r="AB6" s="32">
        <f>'Conversion Deio2'!M6</f>
        <v>0</v>
      </c>
      <c r="AC6" s="32">
        <f t="shared" ref="AC6:AC12" si="1">AVERAGE(AA6:AB6)</f>
        <v>0</v>
      </c>
      <c r="AD6" s="32">
        <f>AA6-$AC$4</f>
        <v>0</v>
      </c>
      <c r="AE6" s="32">
        <f>AB6-$AC$4</f>
        <v>0</v>
      </c>
      <c r="AF6" s="32">
        <f>AC6-$AC$4</f>
        <v>0</v>
      </c>
      <c r="AG6" s="65">
        <f>'Conversion Deio2'!N5</f>
        <v>0</v>
      </c>
      <c r="AH6" s="65">
        <f>'Conversion Deio2'!N6</f>
        <v>0</v>
      </c>
      <c r="AI6" s="33">
        <f t="shared" ref="AI6" si="2">AVERAGE(AG6:AH6)</f>
        <v>0</v>
      </c>
      <c r="AJ6" s="33">
        <f>AG6-$AI$4</f>
        <v>0</v>
      </c>
      <c r="AK6" s="33">
        <f>AH6-$AI$4</f>
        <v>0</v>
      </c>
      <c r="AL6" s="33">
        <f>AI6-$AI$4</f>
        <v>0</v>
      </c>
      <c r="AM6" s="66">
        <f>'Conversion Deio2'!O5</f>
        <v>100</v>
      </c>
      <c r="AN6" s="66">
        <f>'Conversion Deio2'!O6</f>
        <v>100</v>
      </c>
      <c r="AO6" s="66">
        <f>AVERAGE(AM6:AN6)</f>
        <v>100</v>
      </c>
      <c r="AP6" s="66">
        <f>AM6-$AO$4</f>
        <v>0</v>
      </c>
      <c r="AQ6" s="66">
        <f>AN6-$AO$4</f>
        <v>0</v>
      </c>
      <c r="AR6" s="67">
        <f t="shared" ref="AR6" si="3">AO6-$AO$4</f>
        <v>0</v>
      </c>
    </row>
    <row r="7" spans="1:44" x14ac:dyDescent="0.25">
      <c r="A7" s="135"/>
      <c r="B7" s="129"/>
      <c r="C7" s="135"/>
      <c r="D7" s="146"/>
      <c r="E7" s="52"/>
      <c r="F7" s="137"/>
      <c r="G7" s="52"/>
      <c r="H7" s="90" t="s">
        <v>108</v>
      </c>
      <c r="I7" s="26"/>
      <c r="J7" s="61"/>
      <c r="K7" s="61">
        <f>_xlfn.STDEV.S(I6:J6)</f>
        <v>0</v>
      </c>
      <c r="L7" s="61"/>
      <c r="M7" s="61"/>
      <c r="N7" s="61">
        <f>_xlfn.STDEV.S(L6:M6)</f>
        <v>0</v>
      </c>
      <c r="O7" s="62"/>
      <c r="P7" s="62"/>
      <c r="Q7" s="62">
        <f>_xlfn.STDEV.S(O6:P6)</f>
        <v>0</v>
      </c>
      <c r="R7" s="62"/>
      <c r="S7" s="62"/>
      <c r="T7" s="62">
        <f>_xlfn.STDEV.S(R6:S6)</f>
        <v>0</v>
      </c>
      <c r="U7" s="63"/>
      <c r="V7" s="63"/>
      <c r="W7" s="63">
        <f>_xlfn.STDEV.S(U6:V6)</f>
        <v>0</v>
      </c>
      <c r="X7" s="63"/>
      <c r="Y7" s="63"/>
      <c r="Z7" s="63">
        <f>_xlfn.STDEV.S(X6:Y6)</f>
        <v>0</v>
      </c>
      <c r="AA7" s="64"/>
      <c r="AB7" s="64"/>
      <c r="AC7" s="64">
        <f>_xlfn.STDEV.S(AA6:AB6)</f>
        <v>0</v>
      </c>
      <c r="AD7" s="64"/>
      <c r="AE7" s="64"/>
      <c r="AF7" s="64">
        <f>_xlfn.STDEV.S(AD6:AE6)</f>
        <v>0</v>
      </c>
      <c r="AG7" s="65"/>
      <c r="AH7" s="65"/>
      <c r="AI7" s="65">
        <f>_xlfn.STDEV.S(AG6:AH6)</f>
        <v>0</v>
      </c>
      <c r="AJ7" s="65"/>
      <c r="AK7" s="65"/>
      <c r="AL7" s="65">
        <f>_xlfn.STDEV.S(AJ6:AK6)</f>
        <v>0</v>
      </c>
      <c r="AM7" s="66"/>
      <c r="AN7" s="66"/>
      <c r="AO7" s="66">
        <f>_xlfn.STDEV.S(AM6:AN6)</f>
        <v>0</v>
      </c>
      <c r="AP7" s="66"/>
      <c r="AQ7" s="66"/>
      <c r="AR7" s="67">
        <f>_xlfn.STDEV.S(AP6:AQ6)</f>
        <v>0</v>
      </c>
    </row>
    <row r="8" spans="1:44" x14ac:dyDescent="0.25">
      <c r="A8" s="138">
        <v>2</v>
      </c>
      <c r="B8" s="138" t="s">
        <v>190</v>
      </c>
      <c r="C8" s="138">
        <v>120</v>
      </c>
      <c r="D8" s="152"/>
      <c r="E8" s="12"/>
      <c r="F8" s="136">
        <f>'Protein concentration'!E35</f>
        <v>0.59243310694705842</v>
      </c>
      <c r="G8" s="12"/>
      <c r="H8" s="89"/>
      <c r="I8" s="26">
        <f>'Conversion Deio2'!J7</f>
        <v>0</v>
      </c>
      <c r="J8" s="61">
        <f>'Conversion Deio2'!J8</f>
        <v>0</v>
      </c>
      <c r="K8" s="29">
        <f t="shared" si="0"/>
        <v>0</v>
      </c>
      <c r="L8" s="29">
        <f>I8-$K$4</f>
        <v>0</v>
      </c>
      <c r="M8" s="29">
        <f>J8-$K$4</f>
        <v>0</v>
      </c>
      <c r="N8" s="29">
        <f>K8-$K$4</f>
        <v>0</v>
      </c>
      <c r="O8" s="62">
        <f>'Conversion Deio2'!K7</f>
        <v>0</v>
      </c>
      <c r="P8" s="62">
        <f>'Conversion Deio2'!K8</f>
        <v>0</v>
      </c>
      <c r="Q8" s="62">
        <f>AVERAGE(O8:P8)</f>
        <v>0</v>
      </c>
      <c r="R8" s="30">
        <f>O8-$Q$4</f>
        <v>0</v>
      </c>
      <c r="S8" s="30">
        <f>P8-$Q$4</f>
        <v>0</v>
      </c>
      <c r="T8" s="30">
        <f>Q8-$Q$4</f>
        <v>0</v>
      </c>
      <c r="U8" s="63">
        <f>'Conversion Deio2'!L7</f>
        <v>0</v>
      </c>
      <c r="V8" s="63">
        <f>'Conversion Deio2'!L8</f>
        <v>0</v>
      </c>
      <c r="W8" s="63">
        <f>AVERAGE(U8:V8)</f>
        <v>0</v>
      </c>
      <c r="X8" s="31">
        <f>U8-$W$4</f>
        <v>0</v>
      </c>
      <c r="Y8" s="31">
        <f>V8-$W$4</f>
        <v>0</v>
      </c>
      <c r="Z8" s="31">
        <f>AVERAGE(W8-$W$4)</f>
        <v>0</v>
      </c>
      <c r="AA8" s="64">
        <f>'Conversion Deio2'!M7</f>
        <v>0</v>
      </c>
      <c r="AB8" s="64">
        <f>'Conversion Deio2'!M8</f>
        <v>0</v>
      </c>
      <c r="AC8" s="64">
        <f>AVERAGE(AA8:AB8)</f>
        <v>0</v>
      </c>
      <c r="AD8" s="32">
        <f>AA8-$AC$4</f>
        <v>0</v>
      </c>
      <c r="AE8" s="32">
        <f>AB8-$AC$4</f>
        <v>0</v>
      </c>
      <c r="AF8" s="32">
        <f>AC8-$AC$4</f>
        <v>0</v>
      </c>
      <c r="AG8" s="65">
        <f>'Conversion Deio2'!N7</f>
        <v>0</v>
      </c>
      <c r="AH8" s="65">
        <f>'Conversion Deio2'!N8</f>
        <v>0</v>
      </c>
      <c r="AI8" s="33">
        <f>AVERAGE(AG8:AH8)</f>
        <v>0</v>
      </c>
      <c r="AJ8" s="33">
        <f>AG8-$AI$4</f>
        <v>0</v>
      </c>
      <c r="AK8" s="33">
        <f>AH8-$AI$4</f>
        <v>0</v>
      </c>
      <c r="AL8" s="33">
        <f>AI8-$AI$4</f>
        <v>0</v>
      </c>
      <c r="AM8" s="66">
        <f>'Conversion Deio2'!O7</f>
        <v>100</v>
      </c>
      <c r="AN8" s="66">
        <f>'Conversion Deio2'!O8</f>
        <v>100</v>
      </c>
      <c r="AO8" s="66">
        <f>AVERAGE(AM8:AN8)</f>
        <v>100</v>
      </c>
      <c r="AP8" s="66">
        <f>AM8-$AO$4</f>
        <v>0</v>
      </c>
      <c r="AQ8" s="66">
        <f>AN8-$AO$4</f>
        <v>0</v>
      </c>
      <c r="AR8" s="67">
        <f t="shared" ref="AR8" si="4">AO8-$AO$4</f>
        <v>0</v>
      </c>
    </row>
    <row r="9" spans="1:44" x14ac:dyDescent="0.25">
      <c r="A9" s="135"/>
      <c r="B9" s="129"/>
      <c r="C9" s="135"/>
      <c r="D9" s="146"/>
      <c r="E9" s="52"/>
      <c r="F9" s="137"/>
      <c r="G9" s="52"/>
      <c r="H9" s="90" t="s">
        <v>108</v>
      </c>
      <c r="I9" s="26"/>
      <c r="J9" s="61"/>
      <c r="K9" s="61">
        <f>_xlfn.STDEV.S(I8:J8)</f>
        <v>0</v>
      </c>
      <c r="L9" s="61"/>
      <c r="M9" s="61"/>
      <c r="N9" s="61">
        <f>_xlfn.STDEV.S(L8:M8)</f>
        <v>0</v>
      </c>
      <c r="O9" s="62"/>
      <c r="P9" s="62"/>
      <c r="Q9" s="62">
        <f>_xlfn.STDEV.S(O8:P8)</f>
        <v>0</v>
      </c>
      <c r="R9" s="62"/>
      <c r="S9" s="62"/>
      <c r="T9" s="62">
        <f>_xlfn.STDEV.S(R8:S8)</f>
        <v>0</v>
      </c>
      <c r="U9" s="63"/>
      <c r="V9" s="63"/>
      <c r="W9" s="63">
        <f>_xlfn.STDEV.S(U8:V8)</f>
        <v>0</v>
      </c>
      <c r="X9" s="63"/>
      <c r="Y9" s="63"/>
      <c r="Z9" s="63">
        <f>_xlfn.STDEV.S(X8:Y8)</f>
        <v>0</v>
      </c>
      <c r="AA9" s="64"/>
      <c r="AB9" s="64"/>
      <c r="AC9" s="64"/>
      <c r="AD9" s="64"/>
      <c r="AE9" s="64"/>
      <c r="AF9" s="64">
        <f>_xlfn.STDEV.S(AD8:AE8)</f>
        <v>0</v>
      </c>
      <c r="AG9" s="65"/>
      <c r="AH9" s="65"/>
      <c r="AI9" s="65"/>
      <c r="AJ9" s="65"/>
      <c r="AK9" s="65"/>
      <c r="AL9" s="65">
        <f>_xlfn.STDEV.S(AJ8:AK8)</f>
        <v>0</v>
      </c>
      <c r="AM9" s="66"/>
      <c r="AN9" s="66"/>
      <c r="AO9" s="66">
        <f>_xlfn.STDEV.S(AM8:AN8)</f>
        <v>0</v>
      </c>
      <c r="AP9" s="66"/>
      <c r="AQ9" s="66"/>
      <c r="AR9" s="67">
        <f>_xlfn.STDEV.S(AP8:AQ8)</f>
        <v>0</v>
      </c>
    </row>
    <row r="10" spans="1:44" x14ac:dyDescent="0.25">
      <c r="A10" s="129">
        <v>3</v>
      </c>
      <c r="B10" s="138"/>
      <c r="C10" s="134"/>
      <c r="D10" s="152"/>
      <c r="E10"/>
      <c r="F10" s="136"/>
      <c r="G10"/>
      <c r="H10"/>
      <c r="I10" s="26" t="e">
        <f>'Conversion Deio2'!J9</f>
        <v>#DIV/0!</v>
      </c>
      <c r="J10" s="61" t="e">
        <f>'Conversion Deio2'!J10</f>
        <v>#DIV/0!</v>
      </c>
      <c r="K10" s="61" t="e">
        <f t="shared" si="0"/>
        <v>#DIV/0!</v>
      </c>
      <c r="L10" s="61" t="e">
        <f>I10-$K$4</f>
        <v>#DIV/0!</v>
      </c>
      <c r="M10" s="61" t="e">
        <f>J10-$K$4</f>
        <v>#DIV/0!</v>
      </c>
      <c r="N10" s="61" t="e">
        <f>K10-$K$4</f>
        <v>#DIV/0!</v>
      </c>
      <c r="O10" s="62" t="e">
        <f>'Conversion Deio2'!K9</f>
        <v>#DIV/0!</v>
      </c>
      <c r="P10" s="62" t="e">
        <f>'Conversion Deio2'!K10</f>
        <v>#DIV/0!</v>
      </c>
      <c r="Q10" s="62">
        <v>0</v>
      </c>
      <c r="R10" s="62" t="e">
        <f>O10-$Q$4</f>
        <v>#DIV/0!</v>
      </c>
      <c r="S10" s="62" t="e">
        <f>P10-$Q$4</f>
        <v>#DIV/0!</v>
      </c>
      <c r="T10" s="62">
        <f>Q10-$Q$4</f>
        <v>0</v>
      </c>
      <c r="U10" s="63" t="e">
        <f>'Conversion Deio2'!L9</f>
        <v>#DIV/0!</v>
      </c>
      <c r="V10" s="63" t="e">
        <f>'Conversion Deio2'!L10</f>
        <v>#DIV/0!</v>
      </c>
      <c r="W10" s="63" t="e">
        <f t="shared" ref="W10" si="5">AVERAGE(U10:V10)</f>
        <v>#DIV/0!</v>
      </c>
      <c r="X10" s="63" t="e">
        <f>U10-$W$4</f>
        <v>#DIV/0!</v>
      </c>
      <c r="Y10" s="63" t="e">
        <f>V10-$W$4</f>
        <v>#DIV/0!</v>
      </c>
      <c r="Z10" s="63" t="e">
        <f>AVERAGE(W10-$W$4)</f>
        <v>#DIV/0!</v>
      </c>
      <c r="AA10" s="64" t="e">
        <f>'Conversion Deio2'!M9</f>
        <v>#DIV/0!</v>
      </c>
      <c r="AB10" s="64" t="e">
        <f>'Conversion Deio2'!M10</f>
        <v>#DIV/0!</v>
      </c>
      <c r="AC10" s="64" t="e">
        <f t="shared" si="1"/>
        <v>#DIV/0!</v>
      </c>
      <c r="AD10" s="64" t="e">
        <f>AA10-$AC$4</f>
        <v>#DIV/0!</v>
      </c>
      <c r="AE10" s="64" t="e">
        <f>AB10-$AC$4</f>
        <v>#DIV/0!</v>
      </c>
      <c r="AF10" s="64" t="e">
        <f>AC10-$AC$4</f>
        <v>#DIV/0!</v>
      </c>
      <c r="AG10" s="65" t="e">
        <f>'Conversion Deio2'!N9</f>
        <v>#DIV/0!</v>
      </c>
      <c r="AH10" s="65" t="e">
        <f>'Conversion Deio2'!N10</f>
        <v>#DIV/0!</v>
      </c>
      <c r="AI10" s="65" t="e">
        <f t="shared" ref="AI10" si="6">AVERAGE(AG10:AH10)</f>
        <v>#DIV/0!</v>
      </c>
      <c r="AJ10" s="65" t="e">
        <f>AG10-$AI$4</f>
        <v>#DIV/0!</v>
      </c>
      <c r="AK10" s="65" t="e">
        <f>AH10-$AI$4</f>
        <v>#DIV/0!</v>
      </c>
      <c r="AL10" s="65" t="e">
        <f>AI10-$AI$4</f>
        <v>#DIV/0!</v>
      </c>
      <c r="AM10" s="66" t="e">
        <f>'Conversion Deio2'!O9</f>
        <v>#DIV/0!</v>
      </c>
      <c r="AN10" s="66" t="e">
        <f>'Conversion Deio2'!O10</f>
        <v>#DIV/0!</v>
      </c>
      <c r="AO10" s="66" t="e">
        <f>AVERAGE(AM10:AN10)</f>
        <v>#DIV/0!</v>
      </c>
      <c r="AP10" s="66" t="e">
        <f>AM10-$AO$4</f>
        <v>#DIV/0!</v>
      </c>
      <c r="AQ10" s="66" t="e">
        <f>AN10-$AO$4</f>
        <v>#DIV/0!</v>
      </c>
      <c r="AR10" s="67" t="e">
        <f t="shared" ref="AR10" si="7">AO10-$AO$4</f>
        <v>#DIV/0!</v>
      </c>
    </row>
    <row r="11" spans="1:44" x14ac:dyDescent="0.25">
      <c r="A11" s="135"/>
      <c r="B11" s="135"/>
      <c r="C11" s="135"/>
      <c r="D11" s="146"/>
      <c r="E11" s="52"/>
      <c r="F11" s="137"/>
      <c r="G11" s="52"/>
      <c r="H11" s="90" t="s">
        <v>108</v>
      </c>
      <c r="I11" s="26"/>
      <c r="J11" s="61"/>
      <c r="K11" s="61" t="e">
        <f>_xlfn.STDEV.S(I10:J10)</f>
        <v>#DIV/0!</v>
      </c>
      <c r="L11" s="61"/>
      <c r="M11" s="61"/>
      <c r="N11" s="61" t="e">
        <f>_xlfn.STDEV.S(L10:M10)</f>
        <v>#DIV/0!</v>
      </c>
      <c r="O11" s="62"/>
      <c r="P11" s="62"/>
      <c r="Q11" s="62" t="e">
        <f>_xlfn.STDEV.S(O10:P10)</f>
        <v>#DIV/0!</v>
      </c>
      <c r="R11" s="62"/>
      <c r="S11" s="62"/>
      <c r="T11" s="62" t="e">
        <f>_xlfn.STDEV.S(R10:S10)</f>
        <v>#DIV/0!</v>
      </c>
      <c r="U11" s="63"/>
      <c r="V11" s="63"/>
      <c r="W11" s="63" t="e">
        <f>_xlfn.STDEV.S(U10:V10)</f>
        <v>#DIV/0!</v>
      </c>
      <c r="X11" s="63"/>
      <c r="Y11" s="63"/>
      <c r="Z11" s="63" t="e">
        <f>_xlfn.STDEV.S(X10:Y10)</f>
        <v>#DIV/0!</v>
      </c>
      <c r="AA11" s="64"/>
      <c r="AB11" s="64"/>
      <c r="AC11" s="64" t="e">
        <f>_xlfn.STDEV.S(AA10:AB10)</f>
        <v>#DIV/0!</v>
      </c>
      <c r="AD11" s="64"/>
      <c r="AE11" s="64"/>
      <c r="AF11" s="64" t="e">
        <f>_xlfn.STDEV.S(AD10:AE10)</f>
        <v>#DIV/0!</v>
      </c>
      <c r="AG11" s="65"/>
      <c r="AH11" s="65"/>
      <c r="AI11" s="65" t="e">
        <f>_xlfn.STDEV.S(AG10:AH10)</f>
        <v>#DIV/0!</v>
      </c>
      <c r="AJ11" s="65"/>
      <c r="AK11" s="65"/>
      <c r="AL11" s="65" t="e">
        <f>_xlfn.STDEV.S(AJ10:AK10)</f>
        <v>#DIV/0!</v>
      </c>
      <c r="AM11" s="66"/>
      <c r="AN11" s="66"/>
      <c r="AO11" s="66" t="e">
        <f>_xlfn.STDEV.S(AM10:AN10)</f>
        <v>#DIV/0!</v>
      </c>
      <c r="AP11" s="66"/>
      <c r="AQ11" s="66"/>
      <c r="AR11" s="67" t="e">
        <f>_xlfn.STDEV.S(AP10:AQ10)</f>
        <v>#DIV/0!</v>
      </c>
    </row>
    <row r="12" spans="1:44" x14ac:dyDescent="0.25">
      <c r="A12" s="138">
        <v>4</v>
      </c>
      <c r="B12" s="138"/>
      <c r="C12" s="138"/>
      <c r="D12" s="145"/>
      <c r="E12" s="12"/>
      <c r="F12" s="136"/>
      <c r="G12" s="12"/>
      <c r="H12" s="89"/>
      <c r="I12" s="26" t="e">
        <f>'Conversion Deio2'!J11</f>
        <v>#DIV/0!</v>
      </c>
      <c r="J12" s="61" t="e">
        <f>'Conversion Deio2'!J12</f>
        <v>#DIV/0!</v>
      </c>
      <c r="K12" s="61" t="e">
        <f t="shared" si="0"/>
        <v>#DIV/0!</v>
      </c>
      <c r="L12" s="61" t="e">
        <f>I12-$K$4</f>
        <v>#DIV/0!</v>
      </c>
      <c r="M12" s="61" t="e">
        <f>J12-$K$4</f>
        <v>#DIV/0!</v>
      </c>
      <c r="N12" s="61" t="e">
        <f>K12-$K$4</f>
        <v>#DIV/0!</v>
      </c>
      <c r="O12" s="62" t="e">
        <f>'Conversion Deio2'!K11</f>
        <v>#DIV/0!</v>
      </c>
      <c r="P12" s="62" t="e">
        <f>'Conversion Deio2'!K12</f>
        <v>#DIV/0!</v>
      </c>
      <c r="Q12" s="62" t="e">
        <f>AVERAGE(O12:P12)</f>
        <v>#DIV/0!</v>
      </c>
      <c r="R12" s="62" t="e">
        <f>O12-$Q$4</f>
        <v>#DIV/0!</v>
      </c>
      <c r="S12" s="62" t="e">
        <f>P12-$Q$4</f>
        <v>#DIV/0!</v>
      </c>
      <c r="T12" s="62" t="e">
        <f>AVERAGE(R12:S12)</f>
        <v>#DIV/0!</v>
      </c>
      <c r="U12" s="63" t="e">
        <f>'Conversion Deio2'!L11</f>
        <v>#DIV/0!</v>
      </c>
      <c r="V12" s="63" t="e">
        <f>'Conversion Deio2'!L12</f>
        <v>#DIV/0!</v>
      </c>
      <c r="W12" s="63" t="e">
        <f>AVERAGE(U12:V12)</f>
        <v>#DIV/0!</v>
      </c>
      <c r="X12" s="63" t="e">
        <f>U12-$W$4</f>
        <v>#DIV/0!</v>
      </c>
      <c r="Y12" s="63" t="e">
        <f>V12-$W$4</f>
        <v>#DIV/0!</v>
      </c>
      <c r="Z12" s="63" t="e">
        <f>AVERAGE(W12-$W$4)</f>
        <v>#DIV/0!</v>
      </c>
      <c r="AA12" s="64" t="e">
        <f>'Conversion Deio2'!M11</f>
        <v>#DIV/0!</v>
      </c>
      <c r="AB12" s="64" t="e">
        <f>'Conversion Deio2'!M12</f>
        <v>#DIV/0!</v>
      </c>
      <c r="AC12" s="64" t="e">
        <f t="shared" si="1"/>
        <v>#DIV/0!</v>
      </c>
      <c r="AD12" s="64" t="e">
        <f>AA12-$AC$4</f>
        <v>#DIV/0!</v>
      </c>
      <c r="AE12" s="64" t="e">
        <f>AB12-$AC$4</f>
        <v>#DIV/0!</v>
      </c>
      <c r="AF12" s="64" t="e">
        <f>AC12-$AC$4</f>
        <v>#DIV/0!</v>
      </c>
      <c r="AG12" s="65" t="e">
        <f>'Conversion Deio2'!N11</f>
        <v>#DIV/0!</v>
      </c>
      <c r="AH12" s="65" t="e">
        <f>'Conversion Deio2'!N12</f>
        <v>#DIV/0!</v>
      </c>
      <c r="AI12" s="65" t="e">
        <f t="shared" ref="AI12" si="8">AVERAGE(AG12:AH12)</f>
        <v>#DIV/0!</v>
      </c>
      <c r="AJ12" s="65" t="e">
        <f>AG12-$AI$4</f>
        <v>#DIV/0!</v>
      </c>
      <c r="AK12" s="65" t="e">
        <f>AH12-$AI$4</f>
        <v>#DIV/0!</v>
      </c>
      <c r="AL12" s="65" t="e">
        <f>AI12-$AI$4</f>
        <v>#DIV/0!</v>
      </c>
      <c r="AM12" s="66" t="e">
        <f>'Conversion Deio2'!O11</f>
        <v>#DIV/0!</v>
      </c>
      <c r="AN12" s="66" t="e">
        <f>'Conversion Deio2'!O12</f>
        <v>#DIV/0!</v>
      </c>
      <c r="AO12" s="66" t="e">
        <f>AVERAGE(AM12:AN12)</f>
        <v>#DIV/0!</v>
      </c>
      <c r="AP12" s="66" t="e">
        <f>AM12-$AO$4</f>
        <v>#DIV/0!</v>
      </c>
      <c r="AQ12" s="66" t="e">
        <f>AN12-$AO$4</f>
        <v>#DIV/0!</v>
      </c>
      <c r="AR12" s="67" t="e">
        <f t="shared" ref="AR12" si="9">AO12-$AO$4</f>
        <v>#DIV/0!</v>
      </c>
    </row>
    <row r="13" spans="1:44" x14ac:dyDescent="0.25">
      <c r="A13" s="129"/>
      <c r="B13" s="135"/>
      <c r="C13" s="135"/>
      <c r="D13" s="146"/>
      <c r="E13" s="58"/>
      <c r="F13" s="137"/>
      <c r="G13" s="52"/>
      <c r="H13" s="88" t="s">
        <v>108</v>
      </c>
      <c r="I13" s="26"/>
      <c r="J13" s="61"/>
      <c r="K13" s="61" t="e">
        <f>_xlfn.STDEV.S(I12:J12)</f>
        <v>#DIV/0!</v>
      </c>
      <c r="L13" s="61"/>
      <c r="M13" s="61"/>
      <c r="N13" s="61" t="e">
        <f>_xlfn.STDEV.S(L12:M12)</f>
        <v>#DIV/0!</v>
      </c>
      <c r="O13" s="62"/>
      <c r="P13" s="62"/>
      <c r="Q13" s="62" t="e">
        <f>_xlfn.STDEV.S(O12:P12)</f>
        <v>#DIV/0!</v>
      </c>
      <c r="R13" s="62"/>
      <c r="S13" s="62"/>
      <c r="T13" s="62" t="e">
        <f>_xlfn.STDEV.S(R12:S12)</f>
        <v>#DIV/0!</v>
      </c>
      <c r="U13" s="63"/>
      <c r="V13" s="63"/>
      <c r="W13" s="63" t="e">
        <f>_xlfn.STDEV.S(U12:V12)</f>
        <v>#DIV/0!</v>
      </c>
      <c r="X13" s="63"/>
      <c r="Y13" s="63"/>
      <c r="Z13" s="63" t="e">
        <f>_xlfn.STDEV.S(X12:Y12)</f>
        <v>#DIV/0!</v>
      </c>
      <c r="AA13" s="64"/>
      <c r="AB13" s="64"/>
      <c r="AC13" s="64" t="e">
        <f>_xlfn.STDEV.S(AA12:AB12)</f>
        <v>#DIV/0!</v>
      </c>
      <c r="AD13" s="64"/>
      <c r="AE13" s="64"/>
      <c r="AF13" s="64" t="e">
        <f>_xlfn.STDEV.S(AD12:AE12)</f>
        <v>#DIV/0!</v>
      </c>
      <c r="AG13" s="65"/>
      <c r="AH13" s="65"/>
      <c r="AI13" s="65" t="e">
        <f>_xlfn.STDEV.S(AG12:AH12)</f>
        <v>#DIV/0!</v>
      </c>
      <c r="AJ13" s="65"/>
      <c r="AK13" s="65"/>
      <c r="AL13" s="65" t="e">
        <f>_xlfn.STDEV.S(AJ12:AK12)</f>
        <v>#DIV/0!</v>
      </c>
      <c r="AM13" s="66"/>
      <c r="AN13" s="66"/>
      <c r="AO13" s="66" t="e">
        <f>_xlfn.STDEV.S(AM12:AN12)</f>
        <v>#DIV/0!</v>
      </c>
      <c r="AP13" s="66"/>
      <c r="AQ13" s="66"/>
      <c r="AR13" s="67" t="e">
        <f>_xlfn.STDEV.S(AP12:AQ12)</f>
        <v>#DIV/0!</v>
      </c>
    </row>
    <row r="14" spans="1:44" s="58" customFormat="1" x14ac:dyDescent="0.25">
      <c r="A14" s="138">
        <v>5</v>
      </c>
      <c r="B14" s="138"/>
      <c r="C14" s="134"/>
      <c r="D14" s="86"/>
      <c r="E14" s="12"/>
      <c r="F14" s="136"/>
      <c r="H14" s="89"/>
      <c r="I14" s="26" t="e">
        <f>'Conversion Deio2'!J13</f>
        <v>#DIV/0!</v>
      </c>
      <c r="J14" s="61" t="e">
        <f>'Conversion Deio2'!J14</f>
        <v>#DIV/0!</v>
      </c>
      <c r="K14" s="61" t="e">
        <f t="shared" ref="K14" si="10">AVERAGE(I14:J14)</f>
        <v>#DIV/0!</v>
      </c>
      <c r="L14" s="61" t="e">
        <f>I14-$K$4</f>
        <v>#DIV/0!</v>
      </c>
      <c r="M14" s="61" t="e">
        <f>J14-$K$4</f>
        <v>#DIV/0!</v>
      </c>
      <c r="N14" s="61" t="e">
        <f>K14-$K$4</f>
        <v>#DIV/0!</v>
      </c>
      <c r="O14" s="62" t="e">
        <f>'Conversion Deio2'!K13</f>
        <v>#DIV/0!</v>
      </c>
      <c r="P14" s="62" t="e">
        <f>'Conversion Deio2'!K14</f>
        <v>#DIV/0!</v>
      </c>
      <c r="Q14" s="62" t="e">
        <f>AVERAGE(O14:P14)</f>
        <v>#DIV/0!</v>
      </c>
      <c r="R14" s="62" t="e">
        <f>O14-$Q$4</f>
        <v>#DIV/0!</v>
      </c>
      <c r="S14" s="62" t="e">
        <f>P14-$Q$4</f>
        <v>#DIV/0!</v>
      </c>
      <c r="T14" s="62" t="e">
        <f>AVERAGE(R14:S14)</f>
        <v>#DIV/0!</v>
      </c>
      <c r="U14" s="63" t="e">
        <f>'Conversion Deio2'!L13</f>
        <v>#DIV/0!</v>
      </c>
      <c r="V14" s="63" t="e">
        <f>'Conversion Deio2'!L14</f>
        <v>#DIV/0!</v>
      </c>
      <c r="W14" s="63" t="e">
        <f>AVERAGE(U14:V14)</f>
        <v>#DIV/0!</v>
      </c>
      <c r="X14" s="63" t="e">
        <f>U14-$W$4</f>
        <v>#DIV/0!</v>
      </c>
      <c r="Y14" s="63" t="e">
        <f>V14-$W$4</f>
        <v>#DIV/0!</v>
      </c>
      <c r="Z14" s="63" t="e">
        <f>AVERAGE(W14-$W$4)</f>
        <v>#DIV/0!</v>
      </c>
      <c r="AA14" s="64" t="e">
        <f>'Conversion Deio2'!M13</f>
        <v>#DIV/0!</v>
      </c>
      <c r="AB14" s="64" t="e">
        <f>'Conversion Deio2'!M14</f>
        <v>#DIV/0!</v>
      </c>
      <c r="AC14" s="64" t="e">
        <f t="shared" ref="AC14" si="11">AVERAGE(AA14:AB14)</f>
        <v>#DIV/0!</v>
      </c>
      <c r="AD14" s="64" t="e">
        <f>AA14-$AC$4</f>
        <v>#DIV/0!</v>
      </c>
      <c r="AE14" s="64" t="e">
        <f>AB14-$AC$4</f>
        <v>#DIV/0!</v>
      </c>
      <c r="AF14" s="64" t="e">
        <f>AC14-$AC$4</f>
        <v>#DIV/0!</v>
      </c>
      <c r="AG14" s="65" t="e">
        <f>'Conversion Deio2'!N13</f>
        <v>#DIV/0!</v>
      </c>
      <c r="AH14" s="65" t="e">
        <f>'Conversion Deio2'!N14</f>
        <v>#DIV/0!</v>
      </c>
      <c r="AI14" s="65" t="e">
        <f t="shared" ref="AI14" si="12">AVERAGE(AG14:AH14)</f>
        <v>#DIV/0!</v>
      </c>
      <c r="AJ14" s="65" t="e">
        <f>AG14-$AI$4</f>
        <v>#DIV/0!</v>
      </c>
      <c r="AK14" s="65" t="e">
        <f>AH14-$AI$4</f>
        <v>#DIV/0!</v>
      </c>
      <c r="AL14" s="65" t="e">
        <f>AI14-$AI$4</f>
        <v>#DIV/0!</v>
      </c>
      <c r="AM14" s="66" t="e">
        <f>'Conversion Deio2'!O13</f>
        <v>#DIV/0!</v>
      </c>
      <c r="AN14" s="66" t="e">
        <f>'Conversion Deio2'!O14</f>
        <v>#DIV/0!</v>
      </c>
      <c r="AO14" s="66" t="e">
        <f>AVERAGE(AM14:AN14)</f>
        <v>#DIV/0!</v>
      </c>
      <c r="AP14" s="66" t="e">
        <f>AM14-$AO$4</f>
        <v>#DIV/0!</v>
      </c>
      <c r="AQ14" s="66" t="e">
        <f>AN14-$AO$4</f>
        <v>#DIV/0!</v>
      </c>
      <c r="AR14" s="67" t="e">
        <f t="shared" ref="AR14" si="13">AO14-$AO$4</f>
        <v>#DIV/0!</v>
      </c>
    </row>
    <row r="15" spans="1:44" s="58" customFormat="1" x14ac:dyDescent="0.25">
      <c r="A15" s="135"/>
      <c r="B15" s="135"/>
      <c r="C15" s="135"/>
      <c r="D15" s="86"/>
      <c r="F15" s="137"/>
      <c r="H15" s="90" t="s">
        <v>108</v>
      </c>
      <c r="I15" s="26"/>
      <c r="J15" s="61"/>
      <c r="K15" s="61" t="e">
        <f>_xlfn.STDEV.S(I14:J14)</f>
        <v>#DIV/0!</v>
      </c>
      <c r="L15" s="61"/>
      <c r="M15" s="61"/>
      <c r="N15" s="61" t="e">
        <f>_xlfn.STDEV.S(L14:M14)</f>
        <v>#DIV/0!</v>
      </c>
      <c r="O15" s="62"/>
      <c r="P15" s="62"/>
      <c r="Q15" s="62" t="e">
        <f>_xlfn.STDEV.S(O14:P14)</f>
        <v>#DIV/0!</v>
      </c>
      <c r="R15" s="62"/>
      <c r="S15" s="62"/>
      <c r="T15" s="62" t="e">
        <f>_xlfn.STDEV.S(R14:S14)</f>
        <v>#DIV/0!</v>
      </c>
      <c r="U15" s="63"/>
      <c r="V15" s="63"/>
      <c r="W15" s="63" t="e">
        <f>_xlfn.STDEV.S(U14:V14)</f>
        <v>#DIV/0!</v>
      </c>
      <c r="X15" s="63"/>
      <c r="Y15" s="63"/>
      <c r="Z15" s="63" t="e">
        <f>_xlfn.STDEV.S(X14:Y14)</f>
        <v>#DIV/0!</v>
      </c>
      <c r="AA15" s="64"/>
      <c r="AB15" s="64"/>
      <c r="AC15" s="64" t="e">
        <f>_xlfn.STDEV.S(AA14:AB14)</f>
        <v>#DIV/0!</v>
      </c>
      <c r="AD15" s="64"/>
      <c r="AE15" s="64"/>
      <c r="AF15" s="64" t="e">
        <f>_xlfn.STDEV.S(AD14:AE14)</f>
        <v>#DIV/0!</v>
      </c>
      <c r="AG15" s="65"/>
      <c r="AH15" s="65"/>
      <c r="AI15" s="65" t="e">
        <f>_xlfn.STDEV.S(AG14:AH14)</f>
        <v>#DIV/0!</v>
      </c>
      <c r="AJ15" s="65"/>
      <c r="AK15" s="65"/>
      <c r="AL15" s="65" t="e">
        <f>_xlfn.STDEV.S(AJ14:AK14)</f>
        <v>#DIV/0!</v>
      </c>
      <c r="AM15" s="66"/>
      <c r="AN15" s="66"/>
      <c r="AO15" s="66" t="e">
        <f>_xlfn.STDEV.S(AM14:AN14)</f>
        <v>#DIV/0!</v>
      </c>
      <c r="AP15" s="66"/>
      <c r="AQ15" s="66"/>
      <c r="AR15" s="67" t="e">
        <f>_xlfn.STDEV.S(AP14:AQ14)</f>
        <v>#DIV/0!</v>
      </c>
    </row>
    <row r="16" spans="1:44" s="58" customFormat="1" x14ac:dyDescent="0.25">
      <c r="A16" s="138">
        <v>6</v>
      </c>
      <c r="B16" s="138"/>
      <c r="C16" s="138"/>
      <c r="D16" s="91"/>
      <c r="E16" s="12"/>
      <c r="F16" s="136"/>
      <c r="G16" s="12"/>
      <c r="H16" s="88"/>
      <c r="I16" s="26" t="e">
        <f>'Conversion Deio2'!J15</f>
        <v>#DIV/0!</v>
      </c>
      <c r="J16" s="61" t="e">
        <f>'Conversion Deio2'!J16</f>
        <v>#DIV/0!</v>
      </c>
      <c r="K16" s="61" t="e">
        <f t="shared" ref="K16" si="14">AVERAGE(I16:J16)</f>
        <v>#DIV/0!</v>
      </c>
      <c r="L16" s="61" t="e">
        <f>I16-$K$4</f>
        <v>#DIV/0!</v>
      </c>
      <c r="M16" s="61" t="e">
        <f>J16-$K$4</f>
        <v>#DIV/0!</v>
      </c>
      <c r="N16" s="61" t="e">
        <f>K16-$K$4</f>
        <v>#DIV/0!</v>
      </c>
      <c r="O16" s="62" t="e">
        <f>'Conversion Deio2'!K15</f>
        <v>#DIV/0!</v>
      </c>
      <c r="P16" s="62" t="e">
        <f>'Conversion Deio2'!K16</f>
        <v>#DIV/0!</v>
      </c>
      <c r="Q16" s="62" t="e">
        <f>AVERAGE(O16:P16)</f>
        <v>#DIV/0!</v>
      </c>
      <c r="R16" s="62" t="e">
        <f>O16-$Q$4</f>
        <v>#DIV/0!</v>
      </c>
      <c r="S16" s="62" t="e">
        <f>P16-$Q$4</f>
        <v>#DIV/0!</v>
      </c>
      <c r="T16" s="62" t="e">
        <f>AVERAGE(R16:S16)</f>
        <v>#DIV/0!</v>
      </c>
      <c r="U16" s="63" t="e">
        <f>'Conversion Deio2'!L15</f>
        <v>#DIV/0!</v>
      </c>
      <c r="V16" s="63" t="e">
        <f>'Conversion Deio2'!L16</f>
        <v>#DIV/0!</v>
      </c>
      <c r="W16" s="63" t="e">
        <f>AVERAGE(U16:V16)</f>
        <v>#DIV/0!</v>
      </c>
      <c r="X16" s="63" t="e">
        <f>U16-$W$4</f>
        <v>#DIV/0!</v>
      </c>
      <c r="Y16" s="63" t="e">
        <f>V16-$W$4</f>
        <v>#DIV/0!</v>
      </c>
      <c r="Z16" s="63" t="e">
        <f>AVERAGE(W16-$W$4)</f>
        <v>#DIV/0!</v>
      </c>
      <c r="AA16" s="64" t="e">
        <f>'Conversion Deio2'!M15</f>
        <v>#DIV/0!</v>
      </c>
      <c r="AB16" s="64" t="e">
        <f>'Conversion Deio2'!M16</f>
        <v>#DIV/0!</v>
      </c>
      <c r="AC16" s="64" t="e">
        <f t="shared" ref="AC16" si="15">AVERAGE(AA16:AB16)</f>
        <v>#DIV/0!</v>
      </c>
      <c r="AD16" s="64" t="e">
        <f>AA16-$AC$4</f>
        <v>#DIV/0!</v>
      </c>
      <c r="AE16" s="64" t="e">
        <f>AB16-$AC$4</f>
        <v>#DIV/0!</v>
      </c>
      <c r="AF16" s="64" t="e">
        <f>AC16-$AC$4</f>
        <v>#DIV/0!</v>
      </c>
      <c r="AG16" s="65" t="e">
        <f>'Conversion Deio2'!N15</f>
        <v>#DIV/0!</v>
      </c>
      <c r="AH16" s="65" t="e">
        <f>'Conversion Deio2'!N16</f>
        <v>#DIV/0!</v>
      </c>
      <c r="AI16" s="65" t="e">
        <f t="shared" ref="AI16" si="16">AVERAGE(AG16:AH16)</f>
        <v>#DIV/0!</v>
      </c>
      <c r="AJ16" s="65" t="e">
        <f>AG16-$AI$4</f>
        <v>#DIV/0!</v>
      </c>
      <c r="AK16" s="65" t="e">
        <f>AH16-$AI$4</f>
        <v>#DIV/0!</v>
      </c>
      <c r="AL16" s="65" t="e">
        <f>AI16-$AI$4</f>
        <v>#DIV/0!</v>
      </c>
      <c r="AM16" s="66" t="e">
        <f>'Conversion Deio2'!O15</f>
        <v>#DIV/0!</v>
      </c>
      <c r="AN16" s="66" t="e">
        <f>'Conversion Deio2'!O16</f>
        <v>#DIV/0!</v>
      </c>
      <c r="AO16" s="66" t="e">
        <f>AVERAGE(AM16:AN16)</f>
        <v>#DIV/0!</v>
      </c>
      <c r="AP16" s="66" t="e">
        <f>AM16-$AO$4</f>
        <v>#DIV/0!</v>
      </c>
      <c r="AQ16" s="66" t="e">
        <f>AN16-$AO$4</f>
        <v>#DIV/0!</v>
      </c>
      <c r="AR16" s="67" t="e">
        <f t="shared" ref="AR16" si="17">AO16-$AO$4</f>
        <v>#DIV/0!</v>
      </c>
    </row>
    <row r="17" spans="1:44" s="58" customFormat="1" x14ac:dyDescent="0.25">
      <c r="A17" s="135"/>
      <c r="B17" s="135"/>
      <c r="C17" s="135"/>
      <c r="D17" s="87"/>
      <c r="E17" s="52"/>
      <c r="F17" s="137"/>
      <c r="H17" s="90" t="s">
        <v>108</v>
      </c>
      <c r="I17" s="26"/>
      <c r="J17" s="61"/>
      <c r="K17" s="61" t="e">
        <f>_xlfn.STDEV.S(I16:J16)</f>
        <v>#DIV/0!</v>
      </c>
      <c r="L17" s="61"/>
      <c r="M17" s="61"/>
      <c r="N17" s="61" t="e">
        <f>_xlfn.STDEV.S(L16:M16)</f>
        <v>#DIV/0!</v>
      </c>
      <c r="O17" s="62"/>
      <c r="P17" s="62"/>
      <c r="Q17" s="62" t="e">
        <f>_xlfn.STDEV.S(O16:P16)</f>
        <v>#DIV/0!</v>
      </c>
      <c r="R17" s="62"/>
      <c r="S17" s="62"/>
      <c r="T17" s="62" t="e">
        <f>_xlfn.STDEV.S(R16:S16)</f>
        <v>#DIV/0!</v>
      </c>
      <c r="U17" s="63"/>
      <c r="V17" s="63"/>
      <c r="W17" s="63" t="e">
        <f>_xlfn.STDEV.S(U16:V16)</f>
        <v>#DIV/0!</v>
      </c>
      <c r="X17" s="63"/>
      <c r="Y17" s="63"/>
      <c r="Z17" s="63" t="e">
        <f>_xlfn.STDEV.S(X16:Y16)</f>
        <v>#DIV/0!</v>
      </c>
      <c r="AA17" s="64"/>
      <c r="AB17" s="64"/>
      <c r="AC17" s="64" t="e">
        <f>_xlfn.STDEV.S(AA16:AB16)</f>
        <v>#DIV/0!</v>
      </c>
      <c r="AD17" s="64"/>
      <c r="AE17" s="64"/>
      <c r="AF17" s="64" t="e">
        <f>_xlfn.STDEV.S(AD16:AE16)</f>
        <v>#DIV/0!</v>
      </c>
      <c r="AG17" s="65"/>
      <c r="AH17" s="65"/>
      <c r="AI17" s="65" t="e">
        <f>_xlfn.STDEV.S(AG16:AH16)</f>
        <v>#DIV/0!</v>
      </c>
      <c r="AJ17" s="65"/>
      <c r="AK17" s="65"/>
      <c r="AL17" s="65" t="e">
        <f>_xlfn.STDEV.S(AJ16:AK16)</f>
        <v>#DIV/0!</v>
      </c>
      <c r="AM17" s="66"/>
      <c r="AN17" s="66"/>
      <c r="AO17" s="66" t="e">
        <f>_xlfn.STDEV.S(AM16:AN16)</f>
        <v>#DIV/0!</v>
      </c>
      <c r="AP17" s="66"/>
      <c r="AQ17" s="66"/>
      <c r="AR17" s="67" t="e">
        <f>_xlfn.STDEV.S(AP16:AQ16)</f>
        <v>#DIV/0!</v>
      </c>
    </row>
    <row r="18" spans="1:44" s="58" customFormat="1" x14ac:dyDescent="0.25">
      <c r="A18" s="138">
        <v>7</v>
      </c>
      <c r="B18" s="129"/>
      <c r="C18" s="134"/>
      <c r="D18" s="86"/>
      <c r="F18" s="136"/>
      <c r="G18" s="12"/>
      <c r="H18" s="88"/>
      <c r="I18" s="26" t="e">
        <f>'Conversion Deio2'!J17</f>
        <v>#DIV/0!</v>
      </c>
      <c r="J18" s="61" t="e">
        <f>'Conversion Deio2'!J18</f>
        <v>#DIV/0!</v>
      </c>
      <c r="K18" s="61" t="e">
        <f t="shared" ref="K18" si="18">AVERAGE(I18:J18)</f>
        <v>#DIV/0!</v>
      </c>
      <c r="L18" s="61" t="e">
        <f>I18-$K$4</f>
        <v>#DIV/0!</v>
      </c>
      <c r="M18" s="61" t="e">
        <f>J18-$K$4</f>
        <v>#DIV/0!</v>
      </c>
      <c r="N18" s="61" t="e">
        <f>K18-$K$4</f>
        <v>#DIV/0!</v>
      </c>
      <c r="O18" s="62" t="e">
        <f>'Conversion Deio2'!K17</f>
        <v>#DIV/0!</v>
      </c>
      <c r="P18" s="62" t="e">
        <f>'Conversion Deio2'!K18</f>
        <v>#DIV/0!</v>
      </c>
      <c r="Q18" s="62" t="e">
        <f>AVERAGE(O18:P18)</f>
        <v>#DIV/0!</v>
      </c>
      <c r="R18" s="62" t="e">
        <f>O18-$Q$4</f>
        <v>#DIV/0!</v>
      </c>
      <c r="S18" s="62" t="e">
        <f>P18-$Q$4</f>
        <v>#DIV/0!</v>
      </c>
      <c r="T18" s="62" t="e">
        <f>AVERAGE(R18:S18)</f>
        <v>#DIV/0!</v>
      </c>
      <c r="U18" s="63" t="e">
        <f>'Conversion Deio2'!L17</f>
        <v>#DIV/0!</v>
      </c>
      <c r="V18" s="63" t="e">
        <f>'Conversion Deio2'!L18</f>
        <v>#DIV/0!</v>
      </c>
      <c r="W18" s="63" t="e">
        <f>AVERAGE(U18:V18)</f>
        <v>#DIV/0!</v>
      </c>
      <c r="X18" s="63" t="e">
        <f>U18-$W$4</f>
        <v>#DIV/0!</v>
      </c>
      <c r="Y18" s="63" t="e">
        <f>V18-$W$4</f>
        <v>#DIV/0!</v>
      </c>
      <c r="Z18" s="63" t="e">
        <f>AVERAGE(W18-$W$4)</f>
        <v>#DIV/0!</v>
      </c>
      <c r="AA18" s="64" t="e">
        <f>'Conversion Deio2'!M17</f>
        <v>#DIV/0!</v>
      </c>
      <c r="AB18" s="64" t="e">
        <f>'Conversion Deio2'!M18</f>
        <v>#DIV/0!</v>
      </c>
      <c r="AC18" s="64" t="e">
        <f t="shared" ref="AC18" si="19">AVERAGE(AA18:AB18)</f>
        <v>#DIV/0!</v>
      </c>
      <c r="AD18" s="64" t="e">
        <f>AA18-$AC$4</f>
        <v>#DIV/0!</v>
      </c>
      <c r="AE18" s="64" t="e">
        <f>AB18-$AC$4</f>
        <v>#DIV/0!</v>
      </c>
      <c r="AF18" s="64" t="e">
        <f>AC18-$AC$4</f>
        <v>#DIV/0!</v>
      </c>
      <c r="AG18" s="65" t="e">
        <f>'Conversion Deio2'!N17</f>
        <v>#DIV/0!</v>
      </c>
      <c r="AH18" s="65" t="e">
        <f>'Conversion Deio2'!N18</f>
        <v>#DIV/0!</v>
      </c>
      <c r="AI18" s="65" t="e">
        <f t="shared" ref="AI18" si="20">AVERAGE(AG18:AH18)</f>
        <v>#DIV/0!</v>
      </c>
      <c r="AJ18" s="65" t="e">
        <f>AG18-$AI$4</f>
        <v>#DIV/0!</v>
      </c>
      <c r="AK18" s="65" t="e">
        <f>AH18-$AI$4</f>
        <v>#DIV/0!</v>
      </c>
      <c r="AL18" s="65" t="e">
        <f>AI18-$AI$4</f>
        <v>#DIV/0!</v>
      </c>
      <c r="AM18" s="66" t="e">
        <f>'Conversion Deio2'!O17</f>
        <v>#DIV/0!</v>
      </c>
      <c r="AN18" s="66" t="e">
        <f>'Conversion Deio2'!O18</f>
        <v>#DIV/0!</v>
      </c>
      <c r="AO18" s="66" t="e">
        <f>AVERAGE(AM18:AN18)</f>
        <v>#DIV/0!</v>
      </c>
      <c r="AP18" s="66" t="e">
        <f>AM18-$AO$4</f>
        <v>#DIV/0!</v>
      </c>
      <c r="AQ18" s="66" t="e">
        <f>AN18-$AO$4</f>
        <v>#DIV/0!</v>
      </c>
      <c r="AR18" s="67" t="e">
        <f t="shared" ref="AR18" si="21">AO18-$AO$4</f>
        <v>#DIV/0!</v>
      </c>
    </row>
    <row r="19" spans="1:44" s="58" customFormat="1" x14ac:dyDescent="0.25">
      <c r="A19" s="135"/>
      <c r="B19" s="129"/>
      <c r="C19" s="135"/>
      <c r="D19" s="86"/>
      <c r="E19" s="52"/>
      <c r="F19" s="137"/>
      <c r="H19" s="90"/>
      <c r="I19" s="26"/>
      <c r="J19" s="61"/>
      <c r="K19" s="61" t="e">
        <f>_xlfn.STDEV.S(I18:J18)</f>
        <v>#DIV/0!</v>
      </c>
      <c r="L19" s="61"/>
      <c r="M19" s="61"/>
      <c r="N19" s="61" t="e">
        <f>_xlfn.STDEV.S(L18:M18)</f>
        <v>#DIV/0!</v>
      </c>
      <c r="O19" s="62"/>
      <c r="P19" s="62"/>
      <c r="Q19" s="62" t="e">
        <f>_xlfn.STDEV.S(O18:P18)</f>
        <v>#DIV/0!</v>
      </c>
      <c r="R19" s="62"/>
      <c r="S19" s="62"/>
      <c r="T19" s="62" t="e">
        <f>_xlfn.STDEV.S(R18:S18)</f>
        <v>#DIV/0!</v>
      </c>
      <c r="U19" s="63"/>
      <c r="V19" s="63"/>
      <c r="W19" s="63" t="e">
        <f>_xlfn.STDEV.S(U18:V18)</f>
        <v>#DIV/0!</v>
      </c>
      <c r="X19" s="63"/>
      <c r="Y19" s="63"/>
      <c r="Z19" s="63" t="e">
        <f>_xlfn.STDEV.S(X18:Y18)</f>
        <v>#DIV/0!</v>
      </c>
      <c r="AA19" s="64"/>
      <c r="AB19" s="64"/>
      <c r="AC19" s="64" t="e">
        <f>_xlfn.STDEV.S(AA18:AB18)</f>
        <v>#DIV/0!</v>
      </c>
      <c r="AD19" s="64"/>
      <c r="AE19" s="64"/>
      <c r="AF19" s="64" t="e">
        <f>_xlfn.STDEV.S(AD18:AE18)</f>
        <v>#DIV/0!</v>
      </c>
      <c r="AG19" s="65"/>
      <c r="AH19" s="65"/>
      <c r="AI19" s="65" t="e">
        <f>_xlfn.STDEV.S(AG18:AH18)</f>
        <v>#DIV/0!</v>
      </c>
      <c r="AJ19" s="65"/>
      <c r="AK19" s="65"/>
      <c r="AL19" s="65" t="e">
        <f>_xlfn.STDEV.S(AJ18:AK18)</f>
        <v>#DIV/0!</v>
      </c>
      <c r="AM19" s="66"/>
      <c r="AN19" s="66"/>
      <c r="AO19" s="66" t="e">
        <f>_xlfn.STDEV.S(AM18:AN18)</f>
        <v>#DIV/0!</v>
      </c>
      <c r="AP19" s="66"/>
      <c r="AQ19" s="66"/>
      <c r="AR19" s="67" t="e">
        <f>_xlfn.STDEV.S(AP18:AQ18)</f>
        <v>#DIV/0!</v>
      </c>
    </row>
    <row r="20" spans="1:44" s="58" customFormat="1" x14ac:dyDescent="0.25">
      <c r="A20" s="129">
        <v>8</v>
      </c>
      <c r="B20" s="138"/>
      <c r="C20" s="138"/>
      <c r="D20" s="91"/>
      <c r="F20" s="136"/>
      <c r="G20" s="12"/>
      <c r="H20" s="88"/>
      <c r="I20" s="26" t="e">
        <f>'Conversion Deio2'!J19</f>
        <v>#DIV/0!</v>
      </c>
      <c r="J20" s="61" t="e">
        <f>'Conversion Deio2'!J20</f>
        <v>#DIV/0!</v>
      </c>
      <c r="K20" s="61" t="e">
        <f t="shared" ref="K20" si="22">AVERAGE(I20:J20)</f>
        <v>#DIV/0!</v>
      </c>
      <c r="L20" s="61" t="e">
        <f>I20-$K$4</f>
        <v>#DIV/0!</v>
      </c>
      <c r="M20" s="61" t="e">
        <f>J20-$K$4</f>
        <v>#DIV/0!</v>
      </c>
      <c r="N20" s="61" t="e">
        <f>K20-$K$4</f>
        <v>#DIV/0!</v>
      </c>
      <c r="O20" s="62" t="e">
        <f>'Conversion Deio2'!K19</f>
        <v>#DIV/0!</v>
      </c>
      <c r="P20" s="62" t="e">
        <f>'Conversion Deio2'!K20</f>
        <v>#DIV/0!</v>
      </c>
      <c r="Q20" s="62" t="e">
        <f>AVERAGE(O20:P20)</f>
        <v>#DIV/0!</v>
      </c>
      <c r="R20" s="62" t="e">
        <f>O20-$Q$4</f>
        <v>#DIV/0!</v>
      </c>
      <c r="S20" s="62" t="e">
        <f>P20-$Q$4</f>
        <v>#DIV/0!</v>
      </c>
      <c r="T20" s="62" t="e">
        <f>AVERAGE(R20:S20)</f>
        <v>#DIV/0!</v>
      </c>
      <c r="U20" s="63" t="e">
        <f>'Conversion Deio2'!L19</f>
        <v>#DIV/0!</v>
      </c>
      <c r="V20" s="63" t="e">
        <f>'Conversion Deio2'!L20</f>
        <v>#DIV/0!</v>
      </c>
      <c r="W20" s="63" t="e">
        <f>AVERAGE(U20:V20)</f>
        <v>#DIV/0!</v>
      </c>
      <c r="X20" s="63" t="e">
        <f>U20-$W$4</f>
        <v>#DIV/0!</v>
      </c>
      <c r="Y20" s="63" t="e">
        <f>V20-$W$4</f>
        <v>#DIV/0!</v>
      </c>
      <c r="Z20" s="63" t="e">
        <f>AVERAGE(W20-$W$4)</f>
        <v>#DIV/0!</v>
      </c>
      <c r="AA20" s="64" t="e">
        <f>'Conversion Deio2'!M19</f>
        <v>#DIV/0!</v>
      </c>
      <c r="AB20" s="64" t="e">
        <f>'Conversion Deio2'!M20</f>
        <v>#DIV/0!</v>
      </c>
      <c r="AC20" s="64" t="e">
        <f t="shared" ref="AC20" si="23">AVERAGE(AA20:AB20)</f>
        <v>#DIV/0!</v>
      </c>
      <c r="AD20" s="64" t="e">
        <f>AA20-$AC$4</f>
        <v>#DIV/0!</v>
      </c>
      <c r="AE20" s="64" t="e">
        <f>AB20-$AC$4</f>
        <v>#DIV/0!</v>
      </c>
      <c r="AF20" s="64" t="e">
        <f>AC20-$AC$4</f>
        <v>#DIV/0!</v>
      </c>
      <c r="AG20" s="65" t="e">
        <f>'Conversion Deio2'!N19</f>
        <v>#DIV/0!</v>
      </c>
      <c r="AH20" s="65" t="e">
        <f>'Conversion Deio2'!N20</f>
        <v>#DIV/0!</v>
      </c>
      <c r="AI20" s="65" t="e">
        <f t="shared" ref="AI20" si="24">AVERAGE(AG20:AH20)</f>
        <v>#DIV/0!</v>
      </c>
      <c r="AJ20" s="65" t="e">
        <f>AG20-$AI$4</f>
        <v>#DIV/0!</v>
      </c>
      <c r="AK20" s="65" t="e">
        <f>AH20-$AI$4</f>
        <v>#DIV/0!</v>
      </c>
      <c r="AL20" s="65" t="e">
        <f>AI20-$AI$4</f>
        <v>#DIV/0!</v>
      </c>
      <c r="AM20" s="66" t="e">
        <f>'Conversion Deio2'!O19</f>
        <v>#DIV/0!</v>
      </c>
      <c r="AN20" s="66" t="e">
        <f>'Conversion Deio2'!O20</f>
        <v>#DIV/0!</v>
      </c>
      <c r="AO20" s="66" t="e">
        <f>AVERAGE(AM20:AN20)</f>
        <v>#DIV/0!</v>
      </c>
      <c r="AP20" s="66" t="e">
        <f>AM20-$AO$4</f>
        <v>#DIV/0!</v>
      </c>
      <c r="AQ20" s="66" t="e">
        <f>AN20-$AO$4</f>
        <v>#DIV/0!</v>
      </c>
      <c r="AR20" s="67" t="e">
        <f t="shared" ref="AR20" si="25">AO20-$AO$4</f>
        <v>#DIV/0!</v>
      </c>
    </row>
    <row r="21" spans="1:44" s="58" customFormat="1" x14ac:dyDescent="0.25">
      <c r="A21" s="129"/>
      <c r="B21" s="129"/>
      <c r="C21" s="135"/>
      <c r="D21" s="86"/>
      <c r="E21" s="52"/>
      <c r="F21" s="137"/>
      <c r="G21" s="52"/>
      <c r="H21" s="90"/>
      <c r="I21" s="26"/>
      <c r="J21" s="61"/>
      <c r="K21" s="61" t="e">
        <f>_xlfn.STDEV.S(I20:J20)</f>
        <v>#DIV/0!</v>
      </c>
      <c r="L21" s="61"/>
      <c r="M21" s="61"/>
      <c r="N21" s="61" t="e">
        <f>_xlfn.STDEV.S(L20:M20)</f>
        <v>#DIV/0!</v>
      </c>
      <c r="O21" s="62"/>
      <c r="P21" s="62"/>
      <c r="Q21" s="62" t="e">
        <f>_xlfn.STDEV.S(O20:P20)</f>
        <v>#DIV/0!</v>
      </c>
      <c r="R21" s="62"/>
      <c r="S21" s="62"/>
      <c r="T21" s="62" t="e">
        <f>_xlfn.STDEV.S(R20:S20)</f>
        <v>#DIV/0!</v>
      </c>
      <c r="U21" s="63"/>
      <c r="V21" s="63"/>
      <c r="W21" s="63" t="e">
        <f>_xlfn.STDEV.S(U20:V20)</f>
        <v>#DIV/0!</v>
      </c>
      <c r="X21" s="63"/>
      <c r="Y21" s="63"/>
      <c r="Z21" s="63" t="e">
        <f>_xlfn.STDEV.S(X20:Y20)</f>
        <v>#DIV/0!</v>
      </c>
      <c r="AA21" s="64"/>
      <c r="AB21" s="64"/>
      <c r="AC21" s="64" t="e">
        <f>_xlfn.STDEV.S(AA20:AB20)</f>
        <v>#DIV/0!</v>
      </c>
      <c r="AD21" s="64"/>
      <c r="AE21" s="64"/>
      <c r="AF21" s="64" t="e">
        <f>_xlfn.STDEV.S(AD20:AE20)</f>
        <v>#DIV/0!</v>
      </c>
      <c r="AG21" s="65"/>
      <c r="AH21" s="65"/>
      <c r="AI21" s="65" t="e">
        <f>_xlfn.STDEV.S(AG20:AH20)</f>
        <v>#DIV/0!</v>
      </c>
      <c r="AJ21" s="65"/>
      <c r="AK21" s="65"/>
      <c r="AL21" s="65" t="e">
        <f>_xlfn.STDEV.S(AJ20:AK20)</f>
        <v>#DIV/0!</v>
      </c>
      <c r="AM21" s="66"/>
      <c r="AN21" s="66"/>
      <c r="AO21" s="66" t="e">
        <f>_xlfn.STDEV.S(AM20:AN20)</f>
        <v>#DIV/0!</v>
      </c>
      <c r="AP21" s="66"/>
      <c r="AQ21" s="66"/>
      <c r="AR21" s="67" t="e">
        <f>_xlfn.STDEV.S(AP20:AQ20)</f>
        <v>#DIV/0!</v>
      </c>
    </row>
    <row r="22" spans="1:44" x14ac:dyDescent="0.25">
      <c r="A22" s="92"/>
      <c r="B22" s="92"/>
      <c r="C22" s="92"/>
      <c r="D22" s="93"/>
      <c r="E22" s="55"/>
      <c r="F22" s="81"/>
      <c r="G22" s="55"/>
      <c r="H22" s="55"/>
      <c r="I22" s="73"/>
      <c r="J22" s="73"/>
      <c r="K22" s="73"/>
      <c r="L22" s="73"/>
      <c r="M22" s="73"/>
      <c r="N22" s="73"/>
      <c r="O22" s="82"/>
      <c r="P22" s="82"/>
      <c r="Q22" s="82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</row>
    <row r="23" spans="1:44" x14ac:dyDescent="0.25">
      <c r="A23" s="79"/>
      <c r="B23" s="79"/>
      <c r="C23" s="79"/>
      <c r="D23" s="80"/>
      <c r="E23" s="55"/>
      <c r="F23" s="81"/>
      <c r="G23" s="55"/>
      <c r="H23" s="83"/>
      <c r="I23" s="73"/>
      <c r="J23" s="73"/>
      <c r="K23" s="73"/>
      <c r="L23" s="73"/>
      <c r="M23" s="73"/>
      <c r="N23" s="73"/>
      <c r="O23" s="82"/>
      <c r="P23" s="82"/>
      <c r="Q23" s="82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</row>
    <row r="24" spans="1:44" x14ac:dyDescent="0.25">
      <c r="A24" s="79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</row>
    <row r="25" spans="1:44" ht="15.75" thickBot="1" x14ac:dyDescent="0.3">
      <c r="A25" s="79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</row>
    <row r="26" spans="1:44" ht="15.75" thickBot="1" x14ac:dyDescent="0.3">
      <c r="A26" s="79"/>
      <c r="C26" s="68" t="s">
        <v>169</v>
      </c>
      <c r="D26" s="69" t="s">
        <v>168</v>
      </c>
      <c r="E26" s="119" t="s">
        <v>105</v>
      </c>
      <c r="F26" s="70" t="s">
        <v>106</v>
      </c>
      <c r="G26" s="54"/>
      <c r="H26" s="131" t="s">
        <v>107</v>
      </c>
      <c r="I26" s="132"/>
      <c r="J26" s="60" t="s">
        <v>108</v>
      </c>
      <c r="R26"/>
      <c r="S26"/>
      <c r="T26"/>
      <c r="U26"/>
      <c r="V26"/>
      <c r="W26"/>
      <c r="X26"/>
      <c r="Y26"/>
      <c r="Z26"/>
      <c r="AA26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</row>
    <row r="27" spans="1:44" ht="15.75" thickBot="1" x14ac:dyDescent="0.3">
      <c r="A27" s="79"/>
      <c r="C27" s="54"/>
      <c r="D27" s="54"/>
      <c r="E27" s="54"/>
      <c r="F27" s="54"/>
      <c r="G27" s="54"/>
      <c r="H27" s="54"/>
      <c r="I27" s="54"/>
      <c r="J27" s="54"/>
      <c r="R27"/>
      <c r="S27"/>
      <c r="T27" s="130" t="s">
        <v>111</v>
      </c>
      <c r="U27" s="130"/>
      <c r="V27" s="130"/>
      <c r="W27"/>
      <c r="X27"/>
      <c r="Y27"/>
      <c r="Z27"/>
      <c r="AA27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</row>
    <row r="28" spans="1:44" x14ac:dyDescent="0.25">
      <c r="A28" s="79"/>
      <c r="B28" s="129" t="s">
        <v>189</v>
      </c>
      <c r="C28" s="57">
        <f>AD6</f>
        <v>0</v>
      </c>
      <c r="D28" s="57">
        <f>AE6</f>
        <v>0</v>
      </c>
      <c r="E28" s="71">
        <f>C28/$AO$4*2000/120/F6</f>
        <v>0</v>
      </c>
      <c r="F28" s="71">
        <f>D28/$AO$4*2000/120/F6</f>
        <v>0</v>
      </c>
      <c r="G28" s="54"/>
      <c r="H28" s="139">
        <f>AVERAGE(E28:F28)</f>
        <v>0</v>
      </c>
      <c r="I28" s="140"/>
      <c r="J28" s="54">
        <f>_xlfn.STDEV.S(E28:F28)</f>
        <v>0</v>
      </c>
      <c r="R28"/>
      <c r="S28"/>
      <c r="T28"/>
      <c r="U28"/>
      <c r="V28"/>
      <c r="W28"/>
      <c r="X28"/>
      <c r="Y28"/>
      <c r="Z28"/>
      <c r="AA28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</row>
    <row r="29" spans="1:44" ht="15.75" thickBot="1" x14ac:dyDescent="0.3">
      <c r="A29" s="79"/>
      <c r="B29" s="129"/>
      <c r="C29" s="57">
        <f>AD8</f>
        <v>0</v>
      </c>
      <c r="D29" s="57">
        <f>AE8</f>
        <v>0</v>
      </c>
      <c r="E29" s="71">
        <f>C29/$AO$4*2000/120/F8</f>
        <v>0</v>
      </c>
      <c r="F29" s="71">
        <f>D29/$AO$4*2000/120/F8</f>
        <v>0</v>
      </c>
      <c r="G29" s="54"/>
      <c r="H29" s="141">
        <f>AVERAGE(E29:F29)</f>
        <v>0</v>
      </c>
      <c r="I29" s="142"/>
      <c r="J29" s="54">
        <f>_xlfn.STDEV.S(E29:F29)</f>
        <v>0</v>
      </c>
      <c r="R29"/>
      <c r="S29"/>
      <c r="T29"/>
      <c r="U29"/>
      <c r="V29"/>
      <c r="W29"/>
      <c r="X29"/>
      <c r="Y29"/>
      <c r="Z29"/>
      <c r="AA29"/>
      <c r="AB29" s="73"/>
      <c r="AC29" s="73"/>
      <c r="AD29" s="73"/>
      <c r="AE29" s="73"/>
      <c r="AF29" s="73"/>
      <c r="AG29" s="84"/>
      <c r="AH29" s="84"/>
      <c r="AI29" s="84"/>
      <c r="AJ29" s="73"/>
      <c r="AK29" s="73"/>
      <c r="AL29" s="73"/>
      <c r="AM29" s="84"/>
      <c r="AN29" s="84"/>
      <c r="AO29" s="73"/>
      <c r="AP29" s="73"/>
      <c r="AQ29" s="73"/>
      <c r="AR29" s="73"/>
    </row>
    <row r="30" spans="1:44" x14ac:dyDescent="0.25">
      <c r="A30" s="79"/>
      <c r="B30" s="107"/>
      <c r="C30" s="57" t="e">
        <f>AD10</f>
        <v>#DIV/0!</v>
      </c>
      <c r="D30" s="57" t="e">
        <f>AE10</f>
        <v>#DIV/0!</v>
      </c>
      <c r="E30" s="71" t="e">
        <f>C30/$AO$4*2000/120/F10</f>
        <v>#DIV/0!</v>
      </c>
      <c r="F30" s="71" t="e">
        <f>D30/$AO$4*2000/120/F10</f>
        <v>#DIV/0!</v>
      </c>
      <c r="G30" s="54"/>
      <c r="H30" s="139" t="e">
        <f t="shared" ref="H30:H35" si="26">AVERAGE(E30:F30)</f>
        <v>#DIV/0!</v>
      </c>
      <c r="I30" s="140"/>
      <c r="J30" s="54" t="e">
        <f t="shared" ref="J30:J35" si="27">_xlfn.STDEV.S(E30:F30)</f>
        <v>#DIV/0!</v>
      </c>
      <c r="R30"/>
      <c r="S30"/>
      <c r="T30"/>
      <c r="U30"/>
      <c r="V30"/>
      <c r="W30"/>
      <c r="X30"/>
      <c r="Y30"/>
      <c r="Z30"/>
      <c r="AA30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</row>
    <row r="31" spans="1:44" ht="15.75" thickBot="1" x14ac:dyDescent="0.3">
      <c r="A31" s="79"/>
      <c r="B31" s="107"/>
      <c r="C31" s="57" t="e">
        <f>AD12</f>
        <v>#DIV/0!</v>
      </c>
      <c r="D31" s="57" t="e">
        <f>AE12</f>
        <v>#DIV/0!</v>
      </c>
      <c r="E31" s="71" t="e">
        <f>C31/$AO$4*2000/120/F12</f>
        <v>#DIV/0!</v>
      </c>
      <c r="F31" s="71" t="e">
        <f>D31/$AO$4*2000/120/F12</f>
        <v>#DIV/0!</v>
      </c>
      <c r="G31" s="54"/>
      <c r="H31" s="141" t="e">
        <f t="shared" si="26"/>
        <v>#DIV/0!</v>
      </c>
      <c r="I31" s="142"/>
      <c r="J31" s="54" t="e">
        <f t="shared" si="27"/>
        <v>#DIV/0!</v>
      </c>
      <c r="R31"/>
      <c r="S31"/>
      <c r="T31" t="s">
        <v>112</v>
      </c>
      <c r="U31"/>
      <c r="V31"/>
      <c r="W31" t="s">
        <v>131</v>
      </c>
      <c r="X31"/>
      <c r="Y31"/>
      <c r="Z31"/>
      <c r="AA31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</row>
    <row r="32" spans="1:44" x14ac:dyDescent="0.25">
      <c r="A32" s="79"/>
      <c r="B32" s="107"/>
      <c r="C32" s="57" t="e">
        <f>AD14</f>
        <v>#DIV/0!</v>
      </c>
      <c r="D32" s="57" t="e">
        <f>AE14</f>
        <v>#DIV/0!</v>
      </c>
      <c r="E32" s="71" t="e">
        <f>C32/$AO$4*2000/120/F14</f>
        <v>#DIV/0!</v>
      </c>
      <c r="F32" s="71" t="e">
        <f>D32/$AO$4*2000/120/F14</f>
        <v>#DIV/0!</v>
      </c>
      <c r="G32" s="58"/>
      <c r="H32" s="139" t="e">
        <f t="shared" si="26"/>
        <v>#DIV/0!</v>
      </c>
      <c r="I32" s="140"/>
      <c r="J32" s="54" t="e">
        <f t="shared" si="27"/>
        <v>#DIV/0!</v>
      </c>
      <c r="R32"/>
      <c r="S32"/>
      <c r="T32"/>
      <c r="U32"/>
      <c r="V32"/>
      <c r="W32"/>
      <c r="X32"/>
      <c r="Y32"/>
      <c r="Z32"/>
      <c r="AA32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</row>
    <row r="33" spans="1:44" ht="15.75" thickBot="1" x14ac:dyDescent="0.3">
      <c r="A33" s="79"/>
      <c r="B33" s="107"/>
      <c r="C33" s="57" t="e">
        <f>AD16</f>
        <v>#DIV/0!</v>
      </c>
      <c r="D33" s="57" t="e">
        <f>AE16</f>
        <v>#DIV/0!</v>
      </c>
      <c r="E33" s="71" t="e">
        <f>C33/$AO$4*2000/120/F16</f>
        <v>#DIV/0!</v>
      </c>
      <c r="F33" s="71" t="e">
        <f>D33/$AO$4*2000/120/F16</f>
        <v>#DIV/0!</v>
      </c>
      <c r="G33" s="58"/>
      <c r="H33" s="141" t="e">
        <f t="shared" si="26"/>
        <v>#DIV/0!</v>
      </c>
      <c r="I33" s="142"/>
      <c r="J33" s="54" t="e">
        <f t="shared" si="27"/>
        <v>#DIV/0!</v>
      </c>
      <c r="R33"/>
      <c r="S33"/>
      <c r="T33"/>
      <c r="U33"/>
      <c r="V33"/>
      <c r="W33"/>
      <c r="X33"/>
      <c r="Y33"/>
      <c r="Z33"/>
      <c r="AA3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</row>
    <row r="34" spans="1:44" x14ac:dyDescent="0.25">
      <c r="A34" s="79"/>
      <c r="C34" s="57" t="e">
        <f>AD18</f>
        <v>#DIV/0!</v>
      </c>
      <c r="D34" s="57" t="e">
        <f>AE18</f>
        <v>#DIV/0!</v>
      </c>
      <c r="E34" s="71" t="e">
        <f>C34/$AO$4*2000/120/F18</f>
        <v>#DIV/0!</v>
      </c>
      <c r="F34" s="71" t="e">
        <f>D34/$AO$4*2000/120/F18</f>
        <v>#DIV/0!</v>
      </c>
      <c r="G34" s="58"/>
      <c r="H34" s="139" t="e">
        <f t="shared" si="26"/>
        <v>#DIV/0!</v>
      </c>
      <c r="I34" s="140"/>
      <c r="J34" s="54" t="e">
        <f t="shared" si="27"/>
        <v>#DIV/0!</v>
      </c>
      <c r="R34"/>
      <c r="S34"/>
      <c r="T34"/>
      <c r="U34"/>
      <c r="V34"/>
      <c r="W34"/>
      <c r="X34"/>
      <c r="Y34"/>
      <c r="Z34"/>
      <c r="AA34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</row>
    <row r="35" spans="1:44" ht="15.75" thickBot="1" x14ac:dyDescent="0.3">
      <c r="A35" s="79"/>
      <c r="C35" s="57" t="e">
        <f>AD20</f>
        <v>#DIV/0!</v>
      </c>
      <c r="D35" s="57" t="e">
        <f>AE20</f>
        <v>#DIV/0!</v>
      </c>
      <c r="E35" s="71" t="e">
        <f>C35/$AO$4*2000/120/F20</f>
        <v>#DIV/0!</v>
      </c>
      <c r="F35" s="71" t="e">
        <f>D35/$AO$4*2000/120/F20</f>
        <v>#DIV/0!</v>
      </c>
      <c r="G35" s="58"/>
      <c r="H35" s="143" t="e">
        <f t="shared" si="26"/>
        <v>#DIV/0!</v>
      </c>
      <c r="I35" s="144"/>
      <c r="J35" s="54" t="e">
        <f t="shared" si="27"/>
        <v>#DIV/0!</v>
      </c>
      <c r="R35"/>
      <c r="S35"/>
      <c r="T35"/>
      <c r="U35"/>
      <c r="V35"/>
      <c r="W35"/>
      <c r="X35"/>
      <c r="Y35"/>
      <c r="Z35"/>
      <c r="AA35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</row>
    <row r="36" spans="1:44" x14ac:dyDescent="0.25">
      <c r="A36" s="79"/>
      <c r="B36" s="77"/>
      <c r="C36" s="59"/>
      <c r="D36" s="59"/>
      <c r="E36" s="74"/>
      <c r="F36" s="74"/>
      <c r="G36" s="58"/>
      <c r="H36" s="85"/>
      <c r="I36" s="85"/>
      <c r="J36" s="58"/>
      <c r="R36"/>
      <c r="S36"/>
      <c r="T36"/>
      <c r="U36"/>
      <c r="V36"/>
      <c r="W36"/>
      <c r="X36"/>
      <c r="Y36"/>
      <c r="Z36"/>
      <c r="AA36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</row>
    <row r="37" spans="1:44" x14ac:dyDescent="0.25">
      <c r="A37" s="79"/>
      <c r="B37" s="77"/>
      <c r="C37" s="59"/>
      <c r="D37" s="59"/>
      <c r="E37" s="74"/>
      <c r="F37" s="74"/>
      <c r="G37" s="58"/>
      <c r="H37" s="85"/>
      <c r="I37" s="85"/>
      <c r="J37" s="58"/>
      <c r="R37"/>
      <c r="S37"/>
      <c r="T37"/>
      <c r="U37"/>
      <c r="V37"/>
      <c r="W37"/>
      <c r="X37"/>
      <c r="Y37"/>
      <c r="Z37"/>
      <c r="AA37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</row>
    <row r="38" spans="1:44" x14ac:dyDescent="0.25">
      <c r="A38" s="79"/>
      <c r="B38" s="77"/>
      <c r="C38" s="59"/>
      <c r="D38" s="59"/>
      <c r="E38" s="74"/>
      <c r="F38" s="74"/>
      <c r="G38" s="58"/>
      <c r="H38" s="85"/>
      <c r="I38" s="85"/>
      <c r="J38" s="58"/>
      <c r="R38"/>
      <c r="S38"/>
      <c r="T38"/>
      <c r="U38"/>
      <c r="V38"/>
      <c r="W38"/>
      <c r="X38"/>
      <c r="Y38"/>
      <c r="Z38"/>
      <c r="AA38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</row>
    <row r="39" spans="1:44" x14ac:dyDescent="0.25">
      <c r="A39" s="79"/>
      <c r="B39" s="58"/>
      <c r="C39" s="59"/>
      <c r="D39" s="59"/>
      <c r="E39" s="74"/>
      <c r="F39" s="74"/>
      <c r="G39" s="58"/>
      <c r="H39" s="85"/>
      <c r="I39" s="85"/>
      <c r="J39" s="58"/>
      <c r="R39"/>
      <c r="S39"/>
      <c r="T39"/>
      <c r="U39"/>
      <c r="V39"/>
      <c r="W39"/>
      <c r="X39"/>
      <c r="Y39"/>
      <c r="Z39"/>
      <c r="AA39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</row>
    <row r="40" spans="1:44" x14ac:dyDescent="0.25">
      <c r="A40" s="79"/>
      <c r="C40" s="59"/>
      <c r="D40" s="59"/>
      <c r="E40" s="74"/>
      <c r="F40" s="74"/>
      <c r="G40" s="58"/>
      <c r="H40" s="85"/>
      <c r="I40" s="85"/>
      <c r="J40" s="58"/>
      <c r="R40"/>
      <c r="S40"/>
      <c r="T40"/>
      <c r="U40"/>
      <c r="V40"/>
      <c r="W40"/>
      <c r="X40"/>
      <c r="Y40"/>
      <c r="Z40"/>
      <c r="AA40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</row>
    <row r="41" spans="1:44" x14ac:dyDescent="0.25">
      <c r="A41" s="79"/>
      <c r="C41" s="59"/>
      <c r="D41" s="59"/>
      <c r="E41" s="74"/>
      <c r="F41" s="74"/>
      <c r="G41" s="58"/>
      <c r="H41" s="85"/>
      <c r="I41" s="85"/>
      <c r="J41" s="58"/>
      <c r="R41"/>
      <c r="S41"/>
      <c r="T41"/>
      <c r="U41"/>
      <c r="V41"/>
      <c r="W41"/>
      <c r="X41"/>
      <c r="Y41"/>
      <c r="Z41"/>
      <c r="AA41"/>
      <c r="AB41" s="73"/>
      <c r="AC41" s="73"/>
      <c r="AD41" s="73"/>
      <c r="AE41" s="73"/>
      <c r="AF41" s="73"/>
      <c r="AG41" s="73"/>
      <c r="AH41" s="73"/>
      <c r="AI41" s="73"/>
      <c r="AJ41" s="73"/>
      <c r="AK41" s="73"/>
      <c r="AL41" s="73"/>
      <c r="AM41" s="73"/>
      <c r="AN41" s="73"/>
      <c r="AO41" s="73"/>
      <c r="AP41" s="73"/>
      <c r="AQ41" s="73"/>
      <c r="AR41" s="73"/>
    </row>
    <row r="42" spans="1:44" x14ac:dyDescent="0.25">
      <c r="A42" s="79"/>
      <c r="B42" s="79"/>
      <c r="C42" s="55"/>
      <c r="D42" s="80"/>
      <c r="E42" s="55"/>
      <c r="F42" s="55"/>
      <c r="G42" s="55"/>
      <c r="H42" s="55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</row>
    <row r="43" spans="1:44" x14ac:dyDescent="0.25">
      <c r="A43" s="79"/>
      <c r="B43" s="79"/>
      <c r="C43" s="55"/>
      <c r="D43" s="80"/>
      <c r="E43" s="55"/>
      <c r="F43" s="55"/>
      <c r="G43" s="55"/>
      <c r="H43" s="8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  <c r="AA43" s="73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</row>
    <row r="44" spans="1:44" x14ac:dyDescent="0.25">
      <c r="A44" s="79"/>
      <c r="B44" s="79"/>
      <c r="C44" s="55"/>
      <c r="D44" s="80"/>
      <c r="E44" s="55"/>
      <c r="F44" s="55"/>
      <c r="G44" s="55"/>
      <c r="H44" s="55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  <c r="AA44" s="73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</row>
    <row r="45" spans="1:44" x14ac:dyDescent="0.25">
      <c r="A45" s="79"/>
      <c r="B45" s="79"/>
      <c r="C45" s="55"/>
      <c r="D45" s="80"/>
      <c r="E45" s="55"/>
      <c r="F45" s="55"/>
      <c r="G45" s="55"/>
      <c r="H45" s="8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  <c r="AA45" s="73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</row>
    <row r="46" spans="1:44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x14ac:dyDescent="0.25">
      <c r="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x14ac:dyDescent="0.25">
      <c r="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x14ac:dyDescent="0.25">
      <c r="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x14ac:dyDescent="0.25">
      <c r="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x14ac:dyDescent="0.25">
      <c r="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x14ac:dyDescent="0.25">
      <c r="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x14ac:dyDescent="0.25">
      <c r="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x14ac:dyDescent="0.25">
      <c r="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x14ac:dyDescent="0.25">
      <c r="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x14ac:dyDescent="0.25">
      <c r="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x14ac:dyDescent="0.25">
      <c r="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x14ac:dyDescent="0.25">
      <c r="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x14ac:dyDescent="0.25">
      <c r="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x14ac:dyDescent="0.25">
      <c r="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x14ac:dyDescent="0.25">
      <c r="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x14ac:dyDescent="0.25">
      <c r="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x14ac:dyDescent="0.25">
      <c r="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x14ac:dyDescent="0.25">
      <c r="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x14ac:dyDescent="0.25">
      <c r="A65"/>
      <c r="C65" s="59"/>
      <c r="D65" s="59"/>
      <c r="E65" s="74"/>
      <c r="F65" s="74"/>
      <c r="G65" s="58"/>
      <c r="H65" s="133"/>
      <c r="I65" s="133"/>
      <c r="J65" s="58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x14ac:dyDescent="0.25">
      <c r="A66"/>
      <c r="C66" s="59"/>
      <c r="D66" s="59"/>
      <c r="E66" s="74"/>
      <c r="F66" s="74"/>
      <c r="G66" s="58"/>
      <c r="H66" s="133"/>
      <c r="I66" s="133"/>
      <c r="J66" s="58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x14ac:dyDescent="0.25">
      <c r="A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x14ac:dyDescent="0.25">
      <c r="A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</sheetData>
  <mergeCells count="53">
    <mergeCell ref="A18:A19"/>
    <mergeCell ref="B18:B19"/>
    <mergeCell ref="C18:C19"/>
    <mergeCell ref="F18:F19"/>
    <mergeCell ref="A20:A21"/>
    <mergeCell ref="B20:B21"/>
    <mergeCell ref="F20:F21"/>
    <mergeCell ref="C20:C21"/>
    <mergeCell ref="A14:A15"/>
    <mergeCell ref="B16:B17"/>
    <mergeCell ref="C14:C15"/>
    <mergeCell ref="F14:F15"/>
    <mergeCell ref="A16:A17"/>
    <mergeCell ref="C16:C17"/>
    <mergeCell ref="F16:F17"/>
    <mergeCell ref="B14:B15"/>
    <mergeCell ref="A10:A11"/>
    <mergeCell ref="C12:C13"/>
    <mergeCell ref="D10:D11"/>
    <mergeCell ref="B12:B13"/>
    <mergeCell ref="B10:B11"/>
    <mergeCell ref="F6:F7"/>
    <mergeCell ref="F12:F13"/>
    <mergeCell ref="F10:F11"/>
    <mergeCell ref="H65:I65"/>
    <mergeCell ref="A2:B2"/>
    <mergeCell ref="E2:G2"/>
    <mergeCell ref="B6:B7"/>
    <mergeCell ref="B4:B5"/>
    <mergeCell ref="A6:A7"/>
    <mergeCell ref="C6:C7"/>
    <mergeCell ref="C4:C5"/>
    <mergeCell ref="D6:D7"/>
    <mergeCell ref="A8:A9"/>
    <mergeCell ref="B8:B9"/>
    <mergeCell ref="D8:D9"/>
    <mergeCell ref="A12:A13"/>
    <mergeCell ref="F8:F9"/>
    <mergeCell ref="C8:C9"/>
    <mergeCell ref="H28:I28"/>
    <mergeCell ref="H29:I29"/>
    <mergeCell ref="H30:I30"/>
    <mergeCell ref="D12:D13"/>
    <mergeCell ref="B28:B29"/>
    <mergeCell ref="T27:V27"/>
    <mergeCell ref="H26:I26"/>
    <mergeCell ref="H66:I66"/>
    <mergeCell ref="C10:C11"/>
    <mergeCell ref="H31:I31"/>
    <mergeCell ref="H32:I32"/>
    <mergeCell ref="H33:I33"/>
    <mergeCell ref="H34:I34"/>
    <mergeCell ref="H35:I35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workbookViewId="0">
      <selection activeCell="M3" sqref="M3"/>
    </sheetView>
  </sheetViews>
  <sheetFormatPr defaultRowHeight="15" x14ac:dyDescent="0.25"/>
  <cols>
    <col min="1" max="1" width="29" style="54" bestFit="1" customWidth="1"/>
    <col min="2" max="3" width="9.140625" style="54"/>
    <col min="4" max="4" width="11.28515625" style="54" bestFit="1" customWidth="1"/>
    <col min="5" max="16384" width="9.140625" style="54"/>
  </cols>
  <sheetData>
    <row r="1" spans="1:28" ht="15.75" thickBot="1" x14ac:dyDescent="0.3">
      <c r="A1" s="56" t="s">
        <v>133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</row>
    <row r="2" spans="1:28" ht="15.75" thickTop="1" x14ac:dyDescent="0.25">
      <c r="A2" s="72" t="s">
        <v>113</v>
      </c>
      <c r="B2" s="72" t="s">
        <v>114</v>
      </c>
      <c r="C2" s="72" t="s">
        <v>115</v>
      </c>
      <c r="D2" s="72" t="s">
        <v>116</v>
      </c>
      <c r="E2" s="72" t="s">
        <v>117</v>
      </c>
      <c r="F2" s="72" t="s">
        <v>118</v>
      </c>
      <c r="G2" s="72" t="s">
        <v>119</v>
      </c>
      <c r="H2" s="72" t="s">
        <v>120</v>
      </c>
      <c r="I2" s="72"/>
      <c r="J2" s="72" t="s">
        <v>121</v>
      </c>
      <c r="K2" s="72" t="s">
        <v>122</v>
      </c>
      <c r="L2" s="72" t="s">
        <v>123</v>
      </c>
      <c r="M2" s="72" t="s">
        <v>124</v>
      </c>
      <c r="N2" s="72" t="s">
        <v>125</v>
      </c>
      <c r="O2" s="72" t="s">
        <v>126</v>
      </c>
    </row>
    <row r="3" spans="1:28" x14ac:dyDescent="0.25">
      <c r="A3" s="58" t="s">
        <v>132</v>
      </c>
      <c r="B3" s="58">
        <f>157043+231396</f>
        <v>388439</v>
      </c>
      <c r="C3" s="58"/>
      <c r="D3" s="58"/>
      <c r="E3" s="58">
        <v>5417680</v>
      </c>
      <c r="F3" s="58"/>
      <c r="G3" s="58"/>
      <c r="H3" s="58">
        <f>SUM(B3:G3)</f>
        <v>5806119</v>
      </c>
      <c r="I3" s="58"/>
      <c r="J3" s="59">
        <f t="shared" ref="J3:J8" si="0">(B3/H3)*100</f>
        <v>6.6901660127875431</v>
      </c>
      <c r="K3" s="59">
        <f>(C3/H3)*100</f>
        <v>0</v>
      </c>
      <c r="L3" s="59">
        <f t="shared" ref="L3:L8" si="1">(D3/H3)*100</f>
        <v>0</v>
      </c>
      <c r="M3" s="59">
        <f t="shared" ref="M3:M8" si="2">(E3/H3)*100</f>
        <v>93.309833987212457</v>
      </c>
      <c r="N3" s="59">
        <f t="shared" ref="N3:N8" si="3">(F3/H3)*100</f>
        <v>0</v>
      </c>
      <c r="O3" s="59">
        <f t="shared" ref="O3:O8" si="4">(G3/H3)*100</f>
        <v>0</v>
      </c>
    </row>
    <row r="4" spans="1:28" x14ac:dyDescent="0.25">
      <c r="A4" s="52" t="s">
        <v>134</v>
      </c>
      <c r="B4" s="52">
        <v>402417</v>
      </c>
      <c r="C4" s="52"/>
      <c r="D4" s="52"/>
      <c r="E4" s="52">
        <v>4995309</v>
      </c>
      <c r="F4" s="52"/>
      <c r="G4" s="52"/>
      <c r="H4" s="58">
        <f>SUM(B4:G4)</f>
        <v>5397726</v>
      </c>
      <c r="I4" s="52"/>
      <c r="J4" s="59">
        <f t="shared" si="0"/>
        <v>7.4553061789353521</v>
      </c>
      <c r="K4" s="59">
        <f>(C4/H4)*100</f>
        <v>0</v>
      </c>
      <c r="L4" s="59">
        <f t="shared" si="1"/>
        <v>0</v>
      </c>
      <c r="M4" s="59">
        <f t="shared" si="2"/>
        <v>92.544693821064655</v>
      </c>
      <c r="N4" s="59">
        <f t="shared" si="3"/>
        <v>0</v>
      </c>
      <c r="O4" s="59">
        <f t="shared" si="4"/>
        <v>0</v>
      </c>
    </row>
    <row r="5" spans="1:28" x14ac:dyDescent="0.25">
      <c r="A5" s="55" t="s">
        <v>185</v>
      </c>
      <c r="B5" s="55">
        <v>310568</v>
      </c>
      <c r="C5" s="58"/>
      <c r="D5" s="55">
        <v>278823</v>
      </c>
      <c r="E5" s="58">
        <v>4546678</v>
      </c>
      <c r="F5" s="58"/>
      <c r="G5" s="58"/>
      <c r="H5" s="58">
        <f t="shared" ref="H5:H8" si="5">SUM(B5:G5)</f>
        <v>5136069</v>
      </c>
      <c r="I5" s="58"/>
      <c r="J5" s="59">
        <f>(B5/H5)*100</f>
        <v>6.0468034989405322</v>
      </c>
      <c r="K5" s="59">
        <f>(C5/H5)*100</f>
        <v>0</v>
      </c>
      <c r="L5" s="59">
        <f t="shared" si="1"/>
        <v>5.4287237963508668</v>
      </c>
      <c r="M5" s="59">
        <f t="shared" si="2"/>
        <v>88.5244727047086</v>
      </c>
      <c r="N5" s="59">
        <f t="shared" si="3"/>
        <v>0</v>
      </c>
      <c r="O5" s="59">
        <f t="shared" si="4"/>
        <v>0</v>
      </c>
    </row>
    <row r="6" spans="1:28" x14ac:dyDescent="0.25">
      <c r="A6" s="55" t="s">
        <v>186</v>
      </c>
      <c r="B6" s="55">
        <v>256544</v>
      </c>
      <c r="C6" s="58"/>
      <c r="D6" s="58">
        <v>170434</v>
      </c>
      <c r="E6" s="55">
        <v>5310401</v>
      </c>
      <c r="F6" s="58"/>
      <c r="G6" s="58"/>
      <c r="H6" s="58">
        <f t="shared" si="5"/>
        <v>5737379</v>
      </c>
      <c r="I6" s="58"/>
      <c r="J6" s="59">
        <f t="shared" si="0"/>
        <v>4.4714494196740358</v>
      </c>
      <c r="K6" s="59">
        <f t="shared" ref="K6:K8" si="6">(C6/H6)*100</f>
        <v>0</v>
      </c>
      <c r="L6" s="59">
        <f t="shared" si="1"/>
        <v>2.9705898808497748</v>
      </c>
      <c r="M6" s="59">
        <f t="shared" si="2"/>
        <v>92.557960699476197</v>
      </c>
      <c r="N6" s="59">
        <f t="shared" si="3"/>
        <v>0</v>
      </c>
      <c r="O6" s="59">
        <f t="shared" si="4"/>
        <v>0</v>
      </c>
    </row>
    <row r="7" spans="1:28" x14ac:dyDescent="0.25">
      <c r="A7" s="55" t="s">
        <v>187</v>
      </c>
      <c r="B7" s="55">
        <v>297044</v>
      </c>
      <c r="C7" s="58"/>
      <c r="D7" s="55">
        <f>225892+65408+18434</f>
        <v>309734</v>
      </c>
      <c r="E7" s="55">
        <v>4825645</v>
      </c>
      <c r="F7" s="58"/>
      <c r="G7" s="58"/>
      <c r="H7" s="58">
        <f t="shared" si="5"/>
        <v>5432423</v>
      </c>
      <c r="I7" s="58"/>
      <c r="J7" s="59">
        <f t="shared" si="0"/>
        <v>5.4679836235138533</v>
      </c>
      <c r="K7" s="59">
        <f t="shared" si="6"/>
        <v>0</v>
      </c>
      <c r="L7" s="59">
        <f t="shared" si="1"/>
        <v>5.7015810440387282</v>
      </c>
      <c r="M7" s="59">
        <f t="shared" si="2"/>
        <v>88.830435332447422</v>
      </c>
      <c r="N7" s="59">
        <f t="shared" si="3"/>
        <v>0</v>
      </c>
      <c r="O7" s="59">
        <f t="shared" si="4"/>
        <v>0</v>
      </c>
    </row>
    <row r="8" spans="1:28" x14ac:dyDescent="0.25">
      <c r="A8" s="55" t="s">
        <v>188</v>
      </c>
      <c r="B8" s="55">
        <f>121457+98278+139439</f>
        <v>359174</v>
      </c>
      <c r="C8" s="55"/>
      <c r="D8" s="55">
        <f>256118+236472</f>
        <v>492590</v>
      </c>
      <c r="E8" s="55">
        <v>4482685</v>
      </c>
      <c r="F8" s="55"/>
      <c r="G8" s="55"/>
      <c r="H8" s="58">
        <f t="shared" si="5"/>
        <v>5334449</v>
      </c>
      <c r="I8" s="58"/>
      <c r="J8" s="59">
        <f t="shared" si="0"/>
        <v>6.7331040188030666</v>
      </c>
      <c r="K8" s="59">
        <f t="shared" si="6"/>
        <v>0</v>
      </c>
      <c r="L8" s="59">
        <f t="shared" si="1"/>
        <v>9.2341308352558986</v>
      </c>
      <c r="M8" s="59">
        <f t="shared" si="2"/>
        <v>84.032765145941042</v>
      </c>
      <c r="N8" s="59">
        <f t="shared" si="3"/>
        <v>0</v>
      </c>
      <c r="O8" s="59">
        <f t="shared" si="4"/>
        <v>0</v>
      </c>
      <c r="AB8" s="54" t="e">
        <f>'Conversion Deio3'!M8\</f>
        <v>#NAME?</v>
      </c>
    </row>
    <row r="9" spans="1:28" x14ac:dyDescent="0.25">
      <c r="A9" s="55"/>
      <c r="B9" s="55"/>
      <c r="C9" s="55"/>
      <c r="D9" s="55"/>
      <c r="E9" s="55"/>
      <c r="F9" s="55"/>
      <c r="G9" s="55"/>
      <c r="H9" s="58">
        <f t="shared" ref="H9:H20" si="7">SUM(B9:G9)</f>
        <v>0</v>
      </c>
      <c r="I9" s="58"/>
      <c r="J9" s="59" t="e">
        <f t="shared" ref="J9:J20" si="8">(B9/H9)*100</f>
        <v>#DIV/0!</v>
      </c>
      <c r="K9" s="59" t="e">
        <f t="shared" ref="K9:K20" si="9">(C9/H9)*100</f>
        <v>#DIV/0!</v>
      </c>
      <c r="L9" s="59" t="e">
        <f t="shared" ref="L9:L20" si="10">(D9/H9)*100</f>
        <v>#DIV/0!</v>
      </c>
      <c r="M9" s="59" t="e">
        <f t="shared" ref="M9:M20" si="11">(E9/H9)*100</f>
        <v>#DIV/0!</v>
      </c>
      <c r="N9" s="59" t="e">
        <f t="shared" ref="N9:N20" si="12">(F9/H9)*100</f>
        <v>#DIV/0!</v>
      </c>
      <c r="O9" s="59" t="e">
        <f t="shared" ref="O9:O20" si="13">(G9/H9)*100</f>
        <v>#DIV/0!</v>
      </c>
    </row>
    <row r="10" spans="1:28" x14ac:dyDescent="0.25">
      <c r="A10" s="55"/>
      <c r="B10" s="55"/>
      <c r="C10" s="55"/>
      <c r="D10" s="121"/>
      <c r="E10" s="55"/>
      <c r="F10" s="55"/>
      <c r="G10" s="55"/>
      <c r="H10" s="58">
        <f t="shared" si="7"/>
        <v>0</v>
      </c>
      <c r="I10" s="58"/>
      <c r="J10" s="59" t="e">
        <f t="shared" si="8"/>
        <v>#DIV/0!</v>
      </c>
      <c r="K10" s="59" t="e">
        <f t="shared" si="9"/>
        <v>#DIV/0!</v>
      </c>
      <c r="L10" s="59" t="e">
        <f t="shared" si="10"/>
        <v>#DIV/0!</v>
      </c>
      <c r="M10" s="59" t="e">
        <f t="shared" si="11"/>
        <v>#DIV/0!</v>
      </c>
      <c r="N10" s="59" t="e">
        <f t="shared" si="12"/>
        <v>#DIV/0!</v>
      </c>
      <c r="O10" s="59" t="e">
        <f t="shared" si="13"/>
        <v>#DIV/0!</v>
      </c>
    </row>
    <row r="11" spans="1:28" x14ac:dyDescent="0.25">
      <c r="A11" s="55"/>
      <c r="B11" s="55"/>
      <c r="C11" s="55"/>
      <c r="D11" s="55"/>
      <c r="E11" s="55"/>
      <c r="F11" s="55"/>
      <c r="G11" s="55"/>
      <c r="H11" s="58">
        <f t="shared" si="7"/>
        <v>0</v>
      </c>
      <c r="I11" s="58"/>
      <c r="J11" s="59" t="e">
        <f t="shared" si="8"/>
        <v>#DIV/0!</v>
      </c>
      <c r="K11" s="59" t="e">
        <f t="shared" si="9"/>
        <v>#DIV/0!</v>
      </c>
      <c r="L11" s="59" t="e">
        <f t="shared" si="10"/>
        <v>#DIV/0!</v>
      </c>
      <c r="M11" s="59" t="e">
        <f t="shared" si="11"/>
        <v>#DIV/0!</v>
      </c>
      <c r="N11" s="59" t="e">
        <f t="shared" si="12"/>
        <v>#DIV/0!</v>
      </c>
      <c r="O11" s="59" t="e">
        <f t="shared" si="13"/>
        <v>#DIV/0!</v>
      </c>
    </row>
    <row r="12" spans="1:28" x14ac:dyDescent="0.25">
      <c r="A12" s="55"/>
      <c r="B12" s="55"/>
      <c r="C12" s="55"/>
      <c r="D12" s="55"/>
      <c r="E12" s="55"/>
      <c r="F12" s="55"/>
      <c r="G12" s="55"/>
      <c r="H12" s="58">
        <f t="shared" si="7"/>
        <v>0</v>
      </c>
      <c r="I12" s="58"/>
      <c r="J12" s="59" t="e">
        <f t="shared" si="8"/>
        <v>#DIV/0!</v>
      </c>
      <c r="K12" s="59" t="e">
        <f t="shared" si="9"/>
        <v>#DIV/0!</v>
      </c>
      <c r="L12" s="59" t="e">
        <f t="shared" si="10"/>
        <v>#DIV/0!</v>
      </c>
      <c r="M12" s="59" t="e">
        <f t="shared" si="11"/>
        <v>#DIV/0!</v>
      </c>
      <c r="N12" s="59" t="e">
        <f t="shared" si="12"/>
        <v>#DIV/0!</v>
      </c>
      <c r="O12" s="59" t="e">
        <f t="shared" si="13"/>
        <v>#DIV/0!</v>
      </c>
    </row>
    <row r="13" spans="1:28" x14ac:dyDescent="0.25">
      <c r="A13" s="55"/>
      <c r="B13" s="55"/>
      <c r="C13" s="55"/>
      <c r="D13" s="55"/>
      <c r="E13" s="55"/>
      <c r="F13" s="55"/>
      <c r="G13" s="55"/>
      <c r="H13" s="58">
        <f t="shared" si="7"/>
        <v>0</v>
      </c>
      <c r="I13" s="58"/>
      <c r="J13" s="59" t="e">
        <f t="shared" si="8"/>
        <v>#DIV/0!</v>
      </c>
      <c r="K13" s="59" t="e">
        <f t="shared" si="9"/>
        <v>#DIV/0!</v>
      </c>
      <c r="L13" s="59" t="e">
        <f t="shared" si="10"/>
        <v>#DIV/0!</v>
      </c>
      <c r="M13" s="59" t="e">
        <f t="shared" si="11"/>
        <v>#DIV/0!</v>
      </c>
      <c r="N13" s="59" t="e">
        <f t="shared" si="12"/>
        <v>#DIV/0!</v>
      </c>
      <c r="O13" s="59" t="e">
        <f t="shared" si="13"/>
        <v>#DIV/0!</v>
      </c>
    </row>
    <row r="14" spans="1:28" x14ac:dyDescent="0.25">
      <c r="A14" s="55"/>
      <c r="B14" s="55"/>
      <c r="C14" s="55"/>
      <c r="D14" s="55"/>
      <c r="E14" s="55"/>
      <c r="F14" s="58"/>
      <c r="G14" s="58"/>
      <c r="H14" s="58">
        <f t="shared" si="7"/>
        <v>0</v>
      </c>
      <c r="I14" s="58"/>
      <c r="J14" s="59" t="e">
        <f t="shared" si="8"/>
        <v>#DIV/0!</v>
      </c>
      <c r="K14" s="59" t="e">
        <f t="shared" si="9"/>
        <v>#DIV/0!</v>
      </c>
      <c r="L14" s="59" t="e">
        <f t="shared" si="10"/>
        <v>#DIV/0!</v>
      </c>
      <c r="M14" s="59" t="e">
        <f t="shared" si="11"/>
        <v>#DIV/0!</v>
      </c>
      <c r="N14" s="59" t="e">
        <f t="shared" si="12"/>
        <v>#DIV/0!</v>
      </c>
      <c r="O14" s="59" t="e">
        <f t="shared" si="13"/>
        <v>#DIV/0!</v>
      </c>
    </row>
    <row r="15" spans="1:28" x14ac:dyDescent="0.25">
      <c r="A15" s="55"/>
      <c r="B15" s="55"/>
      <c r="C15" s="55"/>
      <c r="D15" s="55"/>
      <c r="E15" s="55"/>
      <c r="F15" s="58"/>
      <c r="G15" s="58"/>
      <c r="H15" s="58">
        <f t="shared" si="7"/>
        <v>0</v>
      </c>
      <c r="I15" s="58"/>
      <c r="J15" s="59" t="e">
        <f t="shared" si="8"/>
        <v>#DIV/0!</v>
      </c>
      <c r="K15" s="59" t="e">
        <f t="shared" si="9"/>
        <v>#DIV/0!</v>
      </c>
      <c r="L15" s="59" t="e">
        <f t="shared" si="10"/>
        <v>#DIV/0!</v>
      </c>
      <c r="M15" s="59" t="e">
        <f t="shared" si="11"/>
        <v>#DIV/0!</v>
      </c>
      <c r="N15" s="59" t="e">
        <f t="shared" si="12"/>
        <v>#DIV/0!</v>
      </c>
      <c r="O15" s="59" t="e">
        <f t="shared" si="13"/>
        <v>#DIV/0!</v>
      </c>
    </row>
    <row r="16" spans="1:28" x14ac:dyDescent="0.25">
      <c r="A16" s="55"/>
      <c r="B16" s="55"/>
      <c r="C16" s="55"/>
      <c r="D16" s="55"/>
      <c r="E16" s="55"/>
      <c r="F16" s="58"/>
      <c r="G16" s="58"/>
      <c r="H16" s="58">
        <f t="shared" si="7"/>
        <v>0</v>
      </c>
      <c r="I16" s="58"/>
      <c r="J16" s="59" t="e">
        <f t="shared" si="8"/>
        <v>#DIV/0!</v>
      </c>
      <c r="K16" s="59" t="e">
        <f t="shared" si="9"/>
        <v>#DIV/0!</v>
      </c>
      <c r="L16" s="59" t="e">
        <f t="shared" si="10"/>
        <v>#DIV/0!</v>
      </c>
      <c r="M16" s="59" t="e">
        <f t="shared" si="11"/>
        <v>#DIV/0!</v>
      </c>
      <c r="N16" s="59" t="e">
        <f t="shared" si="12"/>
        <v>#DIV/0!</v>
      </c>
      <c r="O16" s="59" t="e">
        <f t="shared" si="13"/>
        <v>#DIV/0!</v>
      </c>
    </row>
    <row r="17" spans="1:15" x14ac:dyDescent="0.25">
      <c r="B17" s="55"/>
      <c r="C17" s="55"/>
      <c r="D17" s="55"/>
      <c r="E17" s="55"/>
      <c r="F17" s="58"/>
      <c r="G17" s="58"/>
      <c r="H17" s="58">
        <f t="shared" si="7"/>
        <v>0</v>
      </c>
      <c r="I17" s="58"/>
      <c r="J17" s="59" t="e">
        <f t="shared" si="8"/>
        <v>#DIV/0!</v>
      </c>
      <c r="K17" s="59" t="e">
        <f t="shared" si="9"/>
        <v>#DIV/0!</v>
      </c>
      <c r="L17" s="59" t="e">
        <f t="shared" si="10"/>
        <v>#DIV/0!</v>
      </c>
      <c r="M17" s="59" t="e">
        <f t="shared" si="11"/>
        <v>#DIV/0!</v>
      </c>
      <c r="N17" s="59" t="e">
        <f t="shared" si="12"/>
        <v>#DIV/0!</v>
      </c>
      <c r="O17" s="59" t="e">
        <f t="shared" si="13"/>
        <v>#DIV/0!</v>
      </c>
    </row>
    <row r="18" spans="1:15" x14ac:dyDescent="0.25">
      <c r="B18" s="55"/>
      <c r="C18" s="58"/>
      <c r="D18" s="55"/>
      <c r="E18" s="55"/>
      <c r="F18" s="58"/>
      <c r="G18" s="58"/>
      <c r="H18" s="58">
        <f t="shared" si="7"/>
        <v>0</v>
      </c>
      <c r="I18" s="58"/>
      <c r="J18" s="59" t="e">
        <f t="shared" si="8"/>
        <v>#DIV/0!</v>
      </c>
      <c r="K18" s="59" t="e">
        <f t="shared" si="9"/>
        <v>#DIV/0!</v>
      </c>
      <c r="L18" s="59" t="e">
        <f t="shared" si="10"/>
        <v>#DIV/0!</v>
      </c>
      <c r="M18" s="59" t="e">
        <f t="shared" si="11"/>
        <v>#DIV/0!</v>
      </c>
      <c r="N18" s="59" t="e">
        <f t="shared" si="12"/>
        <v>#DIV/0!</v>
      </c>
      <c r="O18" s="59" t="e">
        <f t="shared" si="13"/>
        <v>#DIV/0!</v>
      </c>
    </row>
    <row r="19" spans="1:15" x14ac:dyDescent="0.25">
      <c r="B19" s="55"/>
      <c r="C19" s="55"/>
      <c r="D19" s="55"/>
      <c r="E19" s="55"/>
      <c r="F19" s="58"/>
      <c r="G19" s="58"/>
      <c r="H19" s="58">
        <f t="shared" si="7"/>
        <v>0</v>
      </c>
      <c r="I19" s="58"/>
      <c r="J19" s="59" t="e">
        <f t="shared" si="8"/>
        <v>#DIV/0!</v>
      </c>
      <c r="K19" s="59" t="e">
        <f t="shared" si="9"/>
        <v>#DIV/0!</v>
      </c>
      <c r="L19" s="59" t="e">
        <f t="shared" si="10"/>
        <v>#DIV/0!</v>
      </c>
      <c r="M19" s="59" t="e">
        <f t="shared" si="11"/>
        <v>#DIV/0!</v>
      </c>
      <c r="N19" s="59" t="e">
        <f t="shared" si="12"/>
        <v>#DIV/0!</v>
      </c>
      <c r="O19" s="59" t="e">
        <f t="shared" si="13"/>
        <v>#DIV/0!</v>
      </c>
    </row>
    <row r="20" spans="1:15" x14ac:dyDescent="0.25">
      <c r="B20" s="55"/>
      <c r="C20" s="58"/>
      <c r="D20" s="55"/>
      <c r="E20" s="55"/>
      <c r="F20" s="58"/>
      <c r="G20" s="58"/>
      <c r="H20" s="58">
        <f t="shared" si="7"/>
        <v>0</v>
      </c>
      <c r="I20" s="58"/>
      <c r="J20" s="59" t="e">
        <f t="shared" si="8"/>
        <v>#DIV/0!</v>
      </c>
      <c r="K20" s="59" t="e">
        <f t="shared" si="9"/>
        <v>#DIV/0!</v>
      </c>
      <c r="L20" s="59" t="e">
        <f t="shared" si="10"/>
        <v>#DIV/0!</v>
      </c>
      <c r="M20" s="59" t="e">
        <f t="shared" si="11"/>
        <v>#DIV/0!</v>
      </c>
      <c r="N20" s="59" t="e">
        <f t="shared" si="12"/>
        <v>#DIV/0!</v>
      </c>
      <c r="O20" s="59" t="e">
        <f t="shared" si="13"/>
        <v>#DIV/0!</v>
      </c>
    </row>
    <row r="21" spans="1:15" x14ac:dyDescent="0.25">
      <c r="A21" s="58"/>
      <c r="B21" s="55"/>
      <c r="C21" s="55"/>
      <c r="D21" s="55"/>
      <c r="E21" s="55"/>
      <c r="F21" s="58"/>
      <c r="G21" s="58"/>
      <c r="H21" s="58"/>
      <c r="I21" s="58"/>
      <c r="J21" s="59"/>
      <c r="K21" s="59"/>
      <c r="L21" s="59"/>
      <c r="M21" s="59"/>
      <c r="N21" s="59"/>
      <c r="O21" s="59"/>
    </row>
    <row r="22" spans="1:15" x14ac:dyDescent="0.25">
      <c r="A22" s="58"/>
      <c r="B22" s="55"/>
      <c r="C22" s="55"/>
      <c r="D22" s="55"/>
      <c r="E22" s="55"/>
      <c r="F22" s="58"/>
      <c r="G22" s="58"/>
      <c r="H22" s="58"/>
      <c r="I22" s="58"/>
      <c r="J22" s="59"/>
      <c r="K22" s="59"/>
      <c r="L22" s="59"/>
      <c r="M22" s="59"/>
      <c r="N22" s="59"/>
      <c r="O22" s="59"/>
    </row>
    <row r="23" spans="1:15" x14ac:dyDescent="0.25">
      <c r="A23" s="58"/>
      <c r="B23" s="76"/>
      <c r="C23" s="58"/>
      <c r="D23" s="55"/>
      <c r="E23" s="55"/>
      <c r="F23" s="58"/>
      <c r="G23" s="58"/>
      <c r="H23" s="58"/>
      <c r="I23" s="58"/>
      <c r="J23" s="59"/>
      <c r="K23" s="59"/>
      <c r="L23" s="59"/>
      <c r="M23" s="59"/>
      <c r="N23" s="59"/>
      <c r="O23" s="59"/>
    </row>
    <row r="24" spans="1:15" x14ac:dyDescent="0.25">
      <c r="A24" s="58"/>
      <c r="B24" s="55"/>
      <c r="C24" s="58"/>
      <c r="D24" s="55"/>
      <c r="E24" s="55"/>
      <c r="F24" s="58"/>
      <c r="G24" s="58"/>
      <c r="H24" s="58"/>
      <c r="I24" s="58"/>
      <c r="J24" s="59"/>
      <c r="K24" s="59"/>
      <c r="L24" s="59"/>
      <c r="M24" s="59"/>
      <c r="N24" s="59"/>
      <c r="O24" s="59"/>
    </row>
    <row r="25" spans="1:15" x14ac:dyDescent="0.25">
      <c r="A25" s="58"/>
      <c r="B25" s="55"/>
      <c r="C25" s="58"/>
      <c r="D25" s="55"/>
      <c r="E25" s="55"/>
      <c r="F25" s="58"/>
      <c r="G25" s="58"/>
      <c r="H25" s="58"/>
      <c r="I25" s="58"/>
      <c r="J25" s="59"/>
      <c r="K25" s="59"/>
      <c r="L25" s="59"/>
      <c r="M25" s="59"/>
      <c r="N25" s="59"/>
      <c r="O25" s="59"/>
    </row>
    <row r="26" spans="1:15" x14ac:dyDescent="0.25">
      <c r="A26" s="58"/>
      <c r="B26" s="55"/>
      <c r="C26" s="55"/>
      <c r="D26" s="55"/>
      <c r="E26" s="55"/>
      <c r="F26" s="58"/>
      <c r="G26" s="58"/>
      <c r="H26" s="58"/>
      <c r="I26" s="58"/>
      <c r="J26" s="59"/>
      <c r="K26" s="59"/>
      <c r="L26" s="59"/>
      <c r="M26" s="59"/>
      <c r="N26" s="59"/>
      <c r="O26" s="59"/>
    </row>
    <row r="27" spans="1:15" x14ac:dyDescent="0.25">
      <c r="A27" s="58"/>
      <c r="B27" s="55"/>
      <c r="C27" s="58"/>
      <c r="D27" s="55"/>
      <c r="E27" s="55"/>
      <c r="F27" s="58"/>
      <c r="G27" s="58"/>
      <c r="H27" s="58"/>
      <c r="I27" s="58"/>
      <c r="J27" s="59"/>
      <c r="K27" s="59"/>
      <c r="L27" s="59"/>
      <c r="M27" s="59"/>
      <c r="N27" s="59"/>
      <c r="O27" s="59"/>
    </row>
    <row r="28" spans="1:15" x14ac:dyDescent="0.25">
      <c r="A28" s="58"/>
      <c r="B28" s="55"/>
      <c r="C28" s="58"/>
      <c r="D28" s="55"/>
      <c r="E28" s="55"/>
      <c r="F28" s="58"/>
      <c r="G28" s="58"/>
      <c r="H28" s="58"/>
      <c r="I28" s="58"/>
      <c r="J28" s="59"/>
      <c r="K28" s="59"/>
      <c r="L28" s="59"/>
      <c r="M28" s="59"/>
      <c r="N28" s="59"/>
      <c r="O28" s="59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80"/>
  <sheetViews>
    <sheetView tabSelected="1" topLeftCell="A4" zoomScale="90" zoomScaleNormal="90" workbookViewId="0">
      <selection activeCell="D28" sqref="D27:D28"/>
    </sheetView>
  </sheetViews>
  <sheetFormatPr defaultColWidth="8.85546875" defaultRowHeight="15" x14ac:dyDescent="0.25"/>
  <cols>
    <col min="1" max="1" width="8.85546875" style="58"/>
    <col min="2" max="2" width="22" style="58" bestFit="1" customWidth="1"/>
    <col min="3" max="3" width="23.42578125" style="58" bestFit="1" customWidth="1"/>
    <col min="4" max="4" width="16.5703125" style="58" bestFit="1" customWidth="1"/>
    <col min="5" max="5" width="16" style="58" bestFit="1" customWidth="1"/>
    <col min="6" max="6" width="14.28515625" style="58" bestFit="1" customWidth="1"/>
    <col min="7" max="7" width="9.140625" style="58" customWidth="1"/>
    <col min="8" max="8" width="14.7109375" style="58" customWidth="1"/>
    <col min="9" max="13" width="8.85546875" style="58"/>
    <col min="14" max="14" width="9.28515625" style="58" bestFit="1" customWidth="1"/>
    <col min="15" max="19" width="8.85546875" style="58"/>
    <col min="20" max="20" width="10.7109375" style="58" bestFit="1" customWidth="1"/>
    <col min="21" max="25" width="8.85546875" style="58"/>
    <col min="26" max="26" width="10.7109375" style="58" bestFit="1" customWidth="1"/>
    <col min="27" max="29" width="9.42578125" style="58" bestFit="1" customWidth="1"/>
    <col min="30" max="31" width="8.85546875" style="58"/>
    <col min="32" max="32" width="10.7109375" style="58" bestFit="1" customWidth="1"/>
    <col min="33" max="33" width="8.85546875" style="58"/>
    <col min="34" max="34" width="11.85546875" style="58" customWidth="1"/>
    <col min="35" max="35" width="8.85546875" style="58"/>
    <col min="36" max="36" width="13.85546875" style="58" customWidth="1"/>
    <col min="37" max="37" width="9.5703125" style="58" bestFit="1" customWidth="1"/>
    <col min="38" max="38" width="11.28515625" style="58" bestFit="1" customWidth="1"/>
    <col min="39" max="43" width="8.85546875" style="58"/>
    <col min="44" max="44" width="10.7109375" style="58" bestFit="1" customWidth="1"/>
    <col min="45" max="16384" width="8.85546875" style="58"/>
  </cols>
  <sheetData>
    <row r="1" spans="1:44" ht="15.75" thickBot="1" x14ac:dyDescent="0.3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</row>
    <row r="2" spans="1:44" ht="15.75" thickBot="1" x14ac:dyDescent="0.3">
      <c r="A2" s="147" t="s">
        <v>0</v>
      </c>
      <c r="B2" s="148"/>
      <c r="C2" s="3" t="s">
        <v>110</v>
      </c>
      <c r="D2" s="4" t="s">
        <v>1</v>
      </c>
      <c r="E2" s="149" t="s">
        <v>2</v>
      </c>
      <c r="F2" s="150"/>
      <c r="G2" s="151"/>
      <c r="H2" s="3"/>
      <c r="I2" s="13" t="s">
        <v>3</v>
      </c>
      <c r="J2" s="13" t="s">
        <v>4</v>
      </c>
      <c r="K2" s="13" t="s">
        <v>5</v>
      </c>
      <c r="L2" s="13" t="s">
        <v>85</v>
      </c>
      <c r="M2" s="13" t="s">
        <v>86</v>
      </c>
      <c r="N2" s="13" t="s">
        <v>87</v>
      </c>
      <c r="O2" s="14" t="s">
        <v>6</v>
      </c>
      <c r="P2" s="14" t="s">
        <v>7</v>
      </c>
      <c r="Q2" s="14" t="s">
        <v>8</v>
      </c>
      <c r="R2" s="14" t="s">
        <v>88</v>
      </c>
      <c r="S2" s="14" t="s">
        <v>89</v>
      </c>
      <c r="T2" s="14" t="s">
        <v>90</v>
      </c>
      <c r="U2" s="15" t="s">
        <v>9</v>
      </c>
      <c r="V2" s="15" t="s">
        <v>10</v>
      </c>
      <c r="W2" s="15" t="s">
        <v>11</v>
      </c>
      <c r="X2" s="15" t="s">
        <v>91</v>
      </c>
      <c r="Y2" s="15" t="s">
        <v>92</v>
      </c>
      <c r="Z2" s="15" t="s">
        <v>93</v>
      </c>
      <c r="AA2" s="16" t="s">
        <v>12</v>
      </c>
      <c r="AB2" s="16" t="s">
        <v>13</v>
      </c>
      <c r="AC2" s="16" t="s">
        <v>14</v>
      </c>
      <c r="AD2" s="17" t="s">
        <v>94</v>
      </c>
      <c r="AE2" s="17" t="s">
        <v>95</v>
      </c>
      <c r="AF2" s="17" t="s">
        <v>96</v>
      </c>
      <c r="AG2" s="18" t="s">
        <v>15</v>
      </c>
      <c r="AH2" s="19" t="s">
        <v>16</v>
      </c>
      <c r="AI2" s="19" t="s">
        <v>17</v>
      </c>
      <c r="AJ2" s="20" t="s">
        <v>97</v>
      </c>
      <c r="AK2" s="20" t="s">
        <v>98</v>
      </c>
      <c r="AL2" s="20" t="s">
        <v>99</v>
      </c>
      <c r="AM2" s="21" t="s">
        <v>18</v>
      </c>
      <c r="AN2" s="22" t="s">
        <v>19</v>
      </c>
      <c r="AO2" s="22" t="s">
        <v>20</v>
      </c>
      <c r="AP2" s="23" t="s">
        <v>100</v>
      </c>
      <c r="AQ2" s="23" t="s">
        <v>101</v>
      </c>
      <c r="AR2" s="23" t="s">
        <v>102</v>
      </c>
    </row>
    <row r="3" spans="1:44" ht="15.75" thickBot="1" x14ac:dyDescent="0.3">
      <c r="A3" s="54"/>
      <c r="B3" s="54"/>
      <c r="C3" s="54"/>
      <c r="D3" s="54"/>
      <c r="E3" s="54"/>
      <c r="F3" s="54"/>
      <c r="G3" s="54"/>
      <c r="H3" s="5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</row>
    <row r="4" spans="1:44" x14ac:dyDescent="0.25">
      <c r="A4" s="54"/>
      <c r="B4" s="134" t="s">
        <v>109</v>
      </c>
      <c r="C4" s="134"/>
      <c r="D4" s="25"/>
      <c r="E4" s="54"/>
      <c r="F4" s="54"/>
      <c r="G4" s="54"/>
      <c r="H4" s="100"/>
      <c r="I4" s="36">
        <f>'Conversion Deio3'!J3</f>
        <v>6.6901660127875431</v>
      </c>
      <c r="J4" s="36">
        <f>'Conversion Deio3'!J4</f>
        <v>7.4553061789353521</v>
      </c>
      <c r="K4" s="37">
        <f>AVERAGE(I4)</f>
        <v>6.6901660127875431</v>
      </c>
      <c r="L4" s="37"/>
      <c r="M4" s="37"/>
      <c r="N4" s="37"/>
      <c r="O4" s="40">
        <f>'Conversion Deio3'!K3</f>
        <v>0</v>
      </c>
      <c r="P4" s="40">
        <f>'Conversion Deio3'!K4</f>
        <v>0</v>
      </c>
      <c r="Q4" s="40">
        <f>AVERAGE(O4:P4)</f>
        <v>0</v>
      </c>
      <c r="R4" s="40"/>
      <c r="S4" s="40"/>
      <c r="T4" s="40"/>
      <c r="U4" s="42">
        <f>'Conversion Deio3'!L3</f>
        <v>0</v>
      </c>
      <c r="V4" s="42">
        <f>'Conversion Deio3'!L4</f>
        <v>0</v>
      </c>
      <c r="W4" s="42">
        <f>AVERAGE(U4)</f>
        <v>0</v>
      </c>
      <c r="X4" s="42"/>
      <c r="Y4" s="42"/>
      <c r="Z4" s="42"/>
      <c r="AA4" s="44">
        <f>'Conversion Deio3'!M3</f>
        <v>93.309833987212457</v>
      </c>
      <c r="AB4" s="44">
        <f>'Conversion Deio3'!M4</f>
        <v>92.544693821064655</v>
      </c>
      <c r="AC4" s="44">
        <f>AVERAGE(AA4)</f>
        <v>93.309833987212457</v>
      </c>
      <c r="AD4" s="44"/>
      <c r="AE4" s="44"/>
      <c r="AF4" s="44"/>
      <c r="AG4" s="46">
        <f>'Conversion Deio3'!N3</f>
        <v>0</v>
      </c>
      <c r="AH4" s="46">
        <f>'Conversion Deio3'!N4</f>
        <v>0</v>
      </c>
      <c r="AI4" s="46">
        <f>AVERAGE(AG4:AH4)</f>
        <v>0</v>
      </c>
      <c r="AJ4" s="46"/>
      <c r="AK4" s="46"/>
      <c r="AL4" s="46"/>
      <c r="AM4" s="48">
        <f>'Conversion Deio3'!O3</f>
        <v>0</v>
      </c>
      <c r="AN4" s="48">
        <f>'Conversion Deio3'!O4</f>
        <v>0</v>
      </c>
      <c r="AO4" s="48">
        <f>AVERAGE(AM4:AN4)</f>
        <v>0</v>
      </c>
      <c r="AP4" s="48"/>
      <c r="AQ4" s="48"/>
      <c r="AR4" s="49"/>
    </row>
    <row r="5" spans="1:44" ht="15.75" thickBot="1" x14ac:dyDescent="0.3">
      <c r="A5" s="52"/>
      <c r="B5" s="135"/>
      <c r="C5" s="135"/>
      <c r="D5" s="53"/>
      <c r="E5" s="52"/>
      <c r="F5" s="52"/>
      <c r="G5" s="52"/>
      <c r="H5" s="90" t="s">
        <v>108</v>
      </c>
      <c r="I5" s="38"/>
      <c r="J5" s="39"/>
      <c r="K5" s="39">
        <f>_xlfn.STDEV.S(I4:J4)</f>
        <v>0.54103580004131746</v>
      </c>
      <c r="L5" s="39"/>
      <c r="M5" s="39"/>
      <c r="N5" s="39"/>
      <c r="O5" s="41"/>
      <c r="P5" s="41"/>
      <c r="Q5" s="41"/>
      <c r="R5" s="41"/>
      <c r="S5" s="41"/>
      <c r="T5" s="41"/>
      <c r="U5" s="43"/>
      <c r="V5" s="43"/>
      <c r="W5" s="43"/>
      <c r="X5" s="43"/>
      <c r="Y5" s="43"/>
      <c r="Z5" s="43"/>
      <c r="AA5" s="45"/>
      <c r="AB5" s="45"/>
      <c r="AC5" s="45"/>
      <c r="AD5" s="45"/>
      <c r="AE5" s="45"/>
      <c r="AF5" s="45"/>
      <c r="AG5" s="47"/>
      <c r="AH5" s="47"/>
      <c r="AI5" s="47"/>
      <c r="AJ5" s="47"/>
      <c r="AK5" s="47"/>
      <c r="AL5" s="47"/>
      <c r="AM5" s="50"/>
      <c r="AN5" s="50"/>
      <c r="AO5" s="50"/>
      <c r="AP5" s="50"/>
      <c r="AQ5" s="50"/>
      <c r="AR5" s="51"/>
    </row>
    <row r="6" spans="1:44" x14ac:dyDescent="0.25">
      <c r="A6" s="138">
        <v>1</v>
      </c>
      <c r="B6" s="129" t="s">
        <v>189</v>
      </c>
      <c r="C6" s="134">
        <v>120</v>
      </c>
      <c r="D6" s="152"/>
      <c r="E6" s="54"/>
      <c r="F6" s="136">
        <f>'Protein concentration'!E32</f>
        <v>0.55505891498240723</v>
      </c>
      <c r="G6" s="54"/>
      <c r="H6" s="54"/>
      <c r="I6" s="28">
        <f>'Conversion Deio3'!J5</f>
        <v>6.0468034989405322</v>
      </c>
      <c r="J6" s="28">
        <f>'Conversion Deio3'!J6</f>
        <v>4.4714494196740358</v>
      </c>
      <c r="K6" s="29">
        <f t="shared" ref="K6:K12" si="0">AVERAGE(I6:J6)</f>
        <v>5.259126459307284</v>
      </c>
      <c r="L6" s="29">
        <f>I6-$K$4</f>
        <v>-0.64336251384701093</v>
      </c>
      <c r="M6" s="29">
        <f>J6-$K$4</f>
        <v>-2.2187165931135073</v>
      </c>
      <c r="N6" s="29">
        <f>K6-$K$4</f>
        <v>-1.4310395534802591</v>
      </c>
      <c r="O6" s="30">
        <f>'Conversion Deio3'!K5</f>
        <v>0</v>
      </c>
      <c r="P6" s="30">
        <f>'Conversion Deio3'!K6</f>
        <v>0</v>
      </c>
      <c r="Q6" s="30">
        <f>AVERAGE(O6:P6)</f>
        <v>0</v>
      </c>
      <c r="R6" s="30">
        <f>O6-$Q$4</f>
        <v>0</v>
      </c>
      <c r="S6" s="30">
        <f>P6-$Q$4</f>
        <v>0</v>
      </c>
      <c r="T6" s="30">
        <f>Q6-$Q$4</f>
        <v>0</v>
      </c>
      <c r="U6" s="31">
        <f>'Conversion Deio3'!L5</f>
        <v>5.4287237963508668</v>
      </c>
      <c r="V6" s="31">
        <f>'Conversion Deio3'!L6</f>
        <v>2.9705898808497748</v>
      </c>
      <c r="W6" s="31">
        <f>AVERAGE(U6:V6)</f>
        <v>4.1996568386003208</v>
      </c>
      <c r="X6" s="31">
        <f>U6-$W$4</f>
        <v>5.4287237963508668</v>
      </c>
      <c r="Y6" s="31">
        <f>V6-$W$4</f>
        <v>2.9705898808497748</v>
      </c>
      <c r="Z6" s="31">
        <f>AVERAGE(W6-$W$4)</f>
        <v>4.1996568386003208</v>
      </c>
      <c r="AA6" s="32">
        <f>'Conversion Deio3'!M5</f>
        <v>88.5244727047086</v>
      </c>
      <c r="AB6" s="32">
        <f>'Conversion Deio3'!M6</f>
        <v>92.557960699476197</v>
      </c>
      <c r="AC6" s="32">
        <f t="shared" ref="AC6:AC12" si="1">AVERAGE(AA6:AB6)</f>
        <v>90.541216702092399</v>
      </c>
      <c r="AD6" s="32">
        <f>AA6-$AC$4</f>
        <v>-4.7853612825038567</v>
      </c>
      <c r="AE6" s="32">
        <f>AB6-$AC$4</f>
        <v>-0.7518732877362595</v>
      </c>
      <c r="AF6" s="32">
        <f>AC6-$AC$4</f>
        <v>-2.7686172851200581</v>
      </c>
      <c r="AG6" s="32">
        <f>'Conversion Deio2'!N5</f>
        <v>0</v>
      </c>
      <c r="AH6" s="33">
        <f>'Conversion Deio2'!N6</f>
        <v>0</v>
      </c>
      <c r="AI6" s="33">
        <f t="shared" ref="AI6:AI8" si="2">AVERAGE(AG6:AH6)</f>
        <v>0</v>
      </c>
      <c r="AJ6" s="33">
        <f>AG6-$AI$4</f>
        <v>0</v>
      </c>
      <c r="AK6" s="33">
        <f t="shared" ref="AK6:AL12" si="3">AH6-$AI$4</f>
        <v>0</v>
      </c>
      <c r="AL6" s="33">
        <f t="shared" si="3"/>
        <v>0</v>
      </c>
      <c r="AM6" s="34" t="e">
        <f>#REF!</f>
        <v>#REF!</v>
      </c>
      <c r="AN6" s="34">
        <v>0</v>
      </c>
      <c r="AO6" s="34" t="e">
        <f t="shared" ref="AO6:AO8" si="4">AVERAGE(AM6:AN6)</f>
        <v>#REF!</v>
      </c>
      <c r="AP6" s="34" t="e">
        <f>AM6-$AO$4</f>
        <v>#REF!</v>
      </c>
      <c r="AQ6" s="34">
        <f>AN6-$AO$4</f>
        <v>0</v>
      </c>
      <c r="AR6" s="35" t="e">
        <f t="shared" ref="AR6:AR12" si="5">AO6-$AO$4</f>
        <v>#REF!</v>
      </c>
    </row>
    <row r="7" spans="1:44" x14ac:dyDescent="0.25">
      <c r="A7" s="135"/>
      <c r="B7" s="129"/>
      <c r="C7" s="135"/>
      <c r="D7" s="146"/>
      <c r="E7" s="52"/>
      <c r="F7" s="137"/>
      <c r="G7" s="52"/>
      <c r="H7" s="90" t="s">
        <v>108</v>
      </c>
      <c r="I7" s="26"/>
      <c r="J7" s="61"/>
      <c r="K7" s="61">
        <f>_xlfn.STDEV.S(I6:J6)</f>
        <v>1.1139435522192283</v>
      </c>
      <c r="L7" s="61"/>
      <c r="M7" s="61"/>
      <c r="N7" s="61">
        <f>_xlfn.STDEV.S(L6:M6)</f>
        <v>1.1139435522192294</v>
      </c>
      <c r="O7" s="62"/>
      <c r="P7" s="62"/>
      <c r="Q7" s="62">
        <f>_xlfn.STDEV.S(O6:P6)</f>
        <v>0</v>
      </c>
      <c r="R7" s="62"/>
      <c r="S7" s="62"/>
      <c r="T7" s="62">
        <f>_xlfn.STDEV.S(R6:S6)</f>
        <v>0</v>
      </c>
      <c r="U7" s="63"/>
      <c r="V7" s="63"/>
      <c r="W7" s="63">
        <f>_xlfn.STDEV.S(U6:V6)</f>
        <v>1.7381631607154613</v>
      </c>
      <c r="X7" s="63"/>
      <c r="Y7" s="63"/>
      <c r="Z7" s="63">
        <f>_xlfn.STDEV.S(X6:Y6)</f>
        <v>1.7381631607154613</v>
      </c>
      <c r="AA7" s="64"/>
      <c r="AB7" s="64"/>
      <c r="AC7" s="64">
        <f>_xlfn.STDEV.S(AA6:AB6)</f>
        <v>2.8521067129346975</v>
      </c>
      <c r="AD7" s="64"/>
      <c r="AE7" s="64"/>
      <c r="AF7" s="64">
        <f>_xlfn.STDEV.S(AD6:AE6)</f>
        <v>2.8521067129346971</v>
      </c>
      <c r="AG7" s="65"/>
      <c r="AH7" s="65"/>
      <c r="AI7" s="65"/>
      <c r="AJ7" s="65"/>
      <c r="AK7" s="65"/>
      <c r="AL7" s="65"/>
      <c r="AM7" s="66"/>
      <c r="AN7" s="66"/>
      <c r="AO7" s="66" t="e">
        <f>_xlfn.STDEV.S(AM6:AN6)</f>
        <v>#REF!</v>
      </c>
      <c r="AP7" s="66"/>
      <c r="AQ7" s="66"/>
      <c r="AR7" s="67" t="e">
        <f>_xlfn.STDEV.S(AP6:AQ6)</f>
        <v>#REF!</v>
      </c>
    </row>
    <row r="8" spans="1:44" x14ac:dyDescent="0.25">
      <c r="A8" s="138">
        <v>2</v>
      </c>
      <c r="B8" s="138" t="s">
        <v>190</v>
      </c>
      <c r="C8" s="138">
        <v>120</v>
      </c>
      <c r="D8" s="152"/>
      <c r="E8" s="12"/>
      <c r="F8" s="136">
        <f>'Protein concentration'!E33</f>
        <v>0.55149946812863115</v>
      </c>
      <c r="G8" s="12"/>
      <c r="H8" s="89"/>
      <c r="I8" s="26">
        <f>'Conversion Deio3'!J7</f>
        <v>5.4679836235138533</v>
      </c>
      <c r="J8" s="61">
        <f>'Conversion Deio3'!J8</f>
        <v>6.7331040188030666</v>
      </c>
      <c r="K8" s="29">
        <f t="shared" si="0"/>
        <v>6.1005438211584604</v>
      </c>
      <c r="L8" s="29">
        <f>I8-$K$4</f>
        <v>-1.2221823892736898</v>
      </c>
      <c r="M8" s="29">
        <f>J8-$K$4</f>
        <v>4.2938006015523555E-2</v>
      </c>
      <c r="N8" s="29">
        <f>K8-$K$4</f>
        <v>-0.58962219162908269</v>
      </c>
      <c r="O8" s="62">
        <f>'Conversion Deio3'!K7</f>
        <v>0</v>
      </c>
      <c r="P8" s="62">
        <f>'Conversion Deio3'!K8</f>
        <v>0</v>
      </c>
      <c r="Q8" s="62">
        <f>AVERAGE(O8:P8)</f>
        <v>0</v>
      </c>
      <c r="R8" s="30">
        <f>O8-$Q$4</f>
        <v>0</v>
      </c>
      <c r="S8" s="30">
        <f>P8-$Q$4</f>
        <v>0</v>
      </c>
      <c r="T8" s="30">
        <f>Q8-$Q$4</f>
        <v>0</v>
      </c>
      <c r="U8" s="63">
        <f>'Conversion Deio3'!L7</f>
        <v>5.7015810440387282</v>
      </c>
      <c r="V8" s="63">
        <f>'Conversion Deio3'!L8</f>
        <v>9.2341308352558986</v>
      </c>
      <c r="W8" s="63">
        <f>AVERAGE(U8:V8)</f>
        <v>7.467855939647313</v>
      </c>
      <c r="X8" s="31">
        <f>U8-$W$4</f>
        <v>5.7015810440387282</v>
      </c>
      <c r="Y8" s="31">
        <f>V8-$W$4</f>
        <v>9.2341308352558986</v>
      </c>
      <c r="Z8" s="31">
        <f>AVERAGE(W8-$W$4)</f>
        <v>7.467855939647313</v>
      </c>
      <c r="AA8" s="64">
        <f>'Conversion Deio3'!M7</f>
        <v>88.830435332447422</v>
      </c>
      <c r="AB8" s="64">
        <f>'Conversion Deio3'!M8</f>
        <v>84.032765145941042</v>
      </c>
      <c r="AC8" s="64">
        <f>AVERAGE(AA8:AB8)</f>
        <v>86.431600239194239</v>
      </c>
      <c r="AD8" s="32">
        <f>AA8-$AC$4</f>
        <v>-4.4793986547650348</v>
      </c>
      <c r="AE8" s="32">
        <f>AB8-$AC$4</f>
        <v>-9.2770688412714151</v>
      </c>
      <c r="AF8" s="32">
        <f>AC8-$AC$4</f>
        <v>-6.8782337480182179</v>
      </c>
      <c r="AG8" s="65" t="e">
        <f>#REF!</f>
        <v>#REF!</v>
      </c>
      <c r="AH8" s="65" t="e">
        <f>#REF!</f>
        <v>#REF!</v>
      </c>
      <c r="AI8" s="33" t="e">
        <f t="shared" si="2"/>
        <v>#REF!</v>
      </c>
      <c r="AJ8" s="33" t="e">
        <f>AG8-$AI$4</f>
        <v>#REF!</v>
      </c>
      <c r="AK8" s="33" t="e">
        <f t="shared" si="3"/>
        <v>#REF!</v>
      </c>
      <c r="AL8" s="33" t="e">
        <f t="shared" si="3"/>
        <v>#REF!</v>
      </c>
      <c r="AM8" s="66" t="e">
        <f>#REF!</f>
        <v>#REF!</v>
      </c>
      <c r="AN8" s="66" t="e">
        <f>#REF!</f>
        <v>#REF!</v>
      </c>
      <c r="AO8" s="34" t="e">
        <f t="shared" si="4"/>
        <v>#REF!</v>
      </c>
      <c r="AP8" s="34" t="e">
        <f>AM8-$AO$4</f>
        <v>#REF!</v>
      </c>
      <c r="AQ8" s="34" t="e">
        <f>AN8-$AO$4</f>
        <v>#REF!</v>
      </c>
      <c r="AR8" s="67"/>
    </row>
    <row r="9" spans="1:44" x14ac:dyDescent="0.25">
      <c r="A9" s="135"/>
      <c r="B9" s="129"/>
      <c r="C9" s="135"/>
      <c r="D9" s="146"/>
      <c r="E9" s="52"/>
      <c r="F9" s="137"/>
      <c r="G9" s="52"/>
      <c r="H9" s="90" t="s">
        <v>108</v>
      </c>
      <c r="I9" s="26"/>
      <c r="J9" s="61"/>
      <c r="K9" s="61">
        <f>_xlfn.STDEV.S(I8:J8)</f>
        <v>0.89457521052640254</v>
      </c>
      <c r="L9" s="61"/>
      <c r="M9" s="61"/>
      <c r="N9" s="61">
        <f>_xlfn.STDEV.S(L8:M8)</f>
        <v>0.89457521052640843</v>
      </c>
      <c r="O9" s="62"/>
      <c r="P9" s="62"/>
      <c r="Q9" s="62">
        <f>_xlfn.STDEV.S(O8:P8)</f>
        <v>0</v>
      </c>
      <c r="R9" s="62"/>
      <c r="S9" s="62"/>
      <c r="T9" s="62">
        <f>_xlfn.STDEV.S(R8:S8)</f>
        <v>0</v>
      </c>
      <c r="U9" s="63"/>
      <c r="V9" s="63"/>
      <c r="W9" s="63">
        <f>_xlfn.STDEV.S(U8:V8)</f>
        <v>2.4978899122487839</v>
      </c>
      <c r="X9" s="63"/>
      <c r="Y9" s="63"/>
      <c r="Z9" s="63">
        <f>_xlfn.STDEV.S(X8:Y8)</f>
        <v>2.4978899122487839</v>
      </c>
      <c r="AA9" s="64"/>
      <c r="AB9" s="64"/>
      <c r="AC9" s="64"/>
      <c r="AD9" s="64"/>
      <c r="AE9" s="64"/>
      <c r="AF9" s="64">
        <f>_xlfn.STDEV.S(AD8:AE8)</f>
        <v>3.3924651227751927</v>
      </c>
      <c r="AG9" s="65"/>
      <c r="AH9" s="65"/>
      <c r="AI9" s="65"/>
      <c r="AJ9" s="65"/>
      <c r="AK9" s="65"/>
      <c r="AL9" s="65"/>
      <c r="AM9" s="66"/>
      <c r="AN9" s="66"/>
      <c r="AO9" s="66"/>
      <c r="AP9" s="66"/>
      <c r="AQ9" s="66"/>
      <c r="AR9" s="67"/>
    </row>
    <row r="10" spans="1:44" x14ac:dyDescent="0.25">
      <c r="A10" s="129">
        <v>3</v>
      </c>
      <c r="B10" s="138"/>
      <c r="C10" s="134"/>
      <c r="D10" s="152"/>
      <c r="E10" s="54"/>
      <c r="F10" s="136"/>
      <c r="G10" s="54"/>
      <c r="H10" s="54"/>
      <c r="I10" s="26" t="e">
        <f>'Conversion Deio3'!J9</f>
        <v>#DIV/0!</v>
      </c>
      <c r="J10" s="61" t="e">
        <f>'Conversion Deio2'!J10</f>
        <v>#DIV/0!</v>
      </c>
      <c r="K10" s="61" t="e">
        <f t="shared" si="0"/>
        <v>#DIV/0!</v>
      </c>
      <c r="L10" s="61" t="e">
        <f>I10-$K$4</f>
        <v>#DIV/0!</v>
      </c>
      <c r="M10" s="61" t="e">
        <f>J10-$K$4</f>
        <v>#DIV/0!</v>
      </c>
      <c r="N10" s="61" t="e">
        <f>K10-$K$4</f>
        <v>#DIV/0!</v>
      </c>
      <c r="O10" s="62" t="e">
        <f>'Conversion Deio3'!K9</f>
        <v>#DIV/0!</v>
      </c>
      <c r="P10" s="62" t="e">
        <f>'Conversion Deio3'!K10</f>
        <v>#DIV/0!</v>
      </c>
      <c r="Q10" s="62">
        <v>0</v>
      </c>
      <c r="R10" s="62" t="e">
        <f>O10-$Q$4</f>
        <v>#DIV/0!</v>
      </c>
      <c r="S10" s="62" t="e">
        <f>P10-$Q$4</f>
        <v>#DIV/0!</v>
      </c>
      <c r="T10" s="62">
        <f>Q10-$Q$4</f>
        <v>0</v>
      </c>
      <c r="U10" s="63" t="e">
        <f>'Conversion Deio3'!L9</f>
        <v>#DIV/0!</v>
      </c>
      <c r="V10" s="63" t="e">
        <f>'Conversion Deio3'!L10</f>
        <v>#DIV/0!</v>
      </c>
      <c r="W10" s="63" t="e">
        <f t="shared" ref="W10" si="6">AVERAGE(U10:V10)</f>
        <v>#DIV/0!</v>
      </c>
      <c r="X10" s="63" t="e">
        <f>U10-$W$4</f>
        <v>#DIV/0!</v>
      </c>
      <c r="Y10" s="63" t="e">
        <f>V10-$W$4</f>
        <v>#DIV/0!</v>
      </c>
      <c r="Z10" s="63" t="e">
        <f>AVERAGE(W10-$W$4)</f>
        <v>#DIV/0!</v>
      </c>
      <c r="AA10" s="64" t="e">
        <f>'Conversion Deio3'!M9</f>
        <v>#DIV/0!</v>
      </c>
      <c r="AB10" s="64" t="e">
        <f>'Conversion Deio3'!M10</f>
        <v>#DIV/0!</v>
      </c>
      <c r="AC10" s="64" t="e">
        <f t="shared" si="1"/>
        <v>#DIV/0!</v>
      </c>
      <c r="AD10" s="64" t="e">
        <f>AA10-$AC$4</f>
        <v>#DIV/0!</v>
      </c>
      <c r="AE10" s="64" t="e">
        <f>AB10-$AC$4</f>
        <v>#DIV/0!</v>
      </c>
      <c r="AF10" s="64" t="e">
        <f>AC10-$AC$4</f>
        <v>#DIV/0!</v>
      </c>
      <c r="AG10" s="65">
        <v>0</v>
      </c>
      <c r="AH10" s="65">
        <v>0</v>
      </c>
      <c r="AI10" s="65">
        <v>0</v>
      </c>
      <c r="AJ10" s="65">
        <f>AG10-$AI$4</f>
        <v>0</v>
      </c>
      <c r="AK10" s="65">
        <f t="shared" si="3"/>
        <v>0</v>
      </c>
      <c r="AL10" s="65">
        <f t="shared" si="3"/>
        <v>0</v>
      </c>
      <c r="AM10" s="66">
        <v>0</v>
      </c>
      <c r="AN10" s="66">
        <v>0</v>
      </c>
      <c r="AO10" s="66">
        <f>AVERAGE(AM10:AN10)</f>
        <v>0</v>
      </c>
      <c r="AP10" s="66">
        <f>AM10-$AO$4</f>
        <v>0</v>
      </c>
      <c r="AQ10" s="66">
        <f>AN10-$AO$4</f>
        <v>0</v>
      </c>
      <c r="AR10" s="67">
        <f t="shared" si="5"/>
        <v>0</v>
      </c>
    </row>
    <row r="11" spans="1:44" x14ac:dyDescent="0.25">
      <c r="A11" s="135"/>
      <c r="B11" s="135"/>
      <c r="C11" s="135"/>
      <c r="D11" s="146"/>
      <c r="E11" s="52"/>
      <c r="F11" s="137"/>
      <c r="G11" s="52"/>
      <c r="H11" s="90" t="s">
        <v>108</v>
      </c>
      <c r="I11" s="26"/>
      <c r="J11" s="61"/>
      <c r="K11" s="61" t="e">
        <f>_xlfn.STDEV.S(I10:J10)</f>
        <v>#DIV/0!</v>
      </c>
      <c r="L11" s="61"/>
      <c r="M11" s="61"/>
      <c r="N11" s="61" t="e">
        <f>_xlfn.STDEV.S(L10:M10)</f>
        <v>#DIV/0!</v>
      </c>
      <c r="O11" s="62"/>
      <c r="P11" s="62"/>
      <c r="Q11" s="62" t="e">
        <f>_xlfn.STDEV.S(O10:P10)</f>
        <v>#DIV/0!</v>
      </c>
      <c r="R11" s="62"/>
      <c r="S11" s="62"/>
      <c r="T11" s="62" t="e">
        <f>_xlfn.STDEV.S(R10:S10)</f>
        <v>#DIV/0!</v>
      </c>
      <c r="U11" s="63"/>
      <c r="V11" s="63"/>
      <c r="W11" s="63" t="e">
        <f>_xlfn.STDEV.S(U10:V10)</f>
        <v>#DIV/0!</v>
      </c>
      <c r="X11" s="63"/>
      <c r="Y11" s="63"/>
      <c r="Z11" s="63" t="e">
        <f>_xlfn.STDEV.S(X10:Y10)</f>
        <v>#DIV/0!</v>
      </c>
      <c r="AA11" s="64"/>
      <c r="AB11" s="64"/>
      <c r="AC11" s="64" t="e">
        <f>_xlfn.STDEV.S(AA10:AB10)</f>
        <v>#DIV/0!</v>
      </c>
      <c r="AD11" s="64"/>
      <c r="AE11" s="64"/>
      <c r="AF11" s="64" t="e">
        <f>_xlfn.STDEV.S(AD10:AE10)</f>
        <v>#DIV/0!</v>
      </c>
      <c r="AG11" s="65"/>
      <c r="AH11" s="65"/>
      <c r="AI11" s="65"/>
      <c r="AJ11" s="65"/>
      <c r="AK11" s="65"/>
      <c r="AL11" s="65"/>
      <c r="AM11" s="66"/>
      <c r="AN11" s="66"/>
      <c r="AO11" s="66">
        <f>_xlfn.STDEV.S(AM10:AN10)</f>
        <v>0</v>
      </c>
      <c r="AP11" s="66"/>
      <c r="AQ11" s="66"/>
      <c r="AR11" s="67">
        <f>_xlfn.STDEV.S(AP10:AQ10)</f>
        <v>0</v>
      </c>
    </row>
    <row r="12" spans="1:44" x14ac:dyDescent="0.25">
      <c r="A12" s="138">
        <v>4</v>
      </c>
      <c r="B12" s="138"/>
      <c r="C12" s="138"/>
      <c r="D12" s="145"/>
      <c r="E12" s="12"/>
      <c r="F12" s="136"/>
      <c r="G12" s="12"/>
      <c r="H12" s="89"/>
      <c r="I12" s="26" t="e">
        <f>'Conversion Deio3'!J11</f>
        <v>#DIV/0!</v>
      </c>
      <c r="J12" s="61" t="e">
        <f>'Conversion Deio2'!J12</f>
        <v>#DIV/0!</v>
      </c>
      <c r="K12" s="61" t="e">
        <f t="shared" si="0"/>
        <v>#DIV/0!</v>
      </c>
      <c r="L12" s="61" t="e">
        <f>I12-$K$4</f>
        <v>#DIV/0!</v>
      </c>
      <c r="M12" s="61" t="e">
        <f>J12-$K$4</f>
        <v>#DIV/0!</v>
      </c>
      <c r="N12" s="61" t="e">
        <f>K12-$K$4</f>
        <v>#DIV/0!</v>
      </c>
      <c r="O12" s="62" t="e">
        <f>'Conversion Deio3'!K11</f>
        <v>#DIV/0!</v>
      </c>
      <c r="P12" s="62" t="e">
        <f>'Conversion Deio3'!K12</f>
        <v>#DIV/0!</v>
      </c>
      <c r="Q12" s="62" t="e">
        <f>AVERAGE(O12:P12)</f>
        <v>#DIV/0!</v>
      </c>
      <c r="R12" s="62" t="e">
        <f>O12-$Q$4</f>
        <v>#DIV/0!</v>
      </c>
      <c r="S12" s="62" t="e">
        <f>P12-$Q$4</f>
        <v>#DIV/0!</v>
      </c>
      <c r="T12" s="62" t="e">
        <f>AVERAGE(R12:S12)</f>
        <v>#DIV/0!</v>
      </c>
      <c r="U12" s="63" t="e">
        <f>'Conversion Deio3'!L11</f>
        <v>#DIV/0!</v>
      </c>
      <c r="V12" s="63" t="e">
        <f>'Conversion Deio3'!L12</f>
        <v>#DIV/0!</v>
      </c>
      <c r="W12" s="63" t="e">
        <f>AVERAGE(U12:V12)</f>
        <v>#DIV/0!</v>
      </c>
      <c r="X12" s="63" t="e">
        <f>U12-$W$4</f>
        <v>#DIV/0!</v>
      </c>
      <c r="Y12" s="63" t="e">
        <f>V12-$W$4</f>
        <v>#DIV/0!</v>
      </c>
      <c r="Z12" s="63" t="e">
        <f>AVERAGE(W12-$W$4)</f>
        <v>#DIV/0!</v>
      </c>
      <c r="AA12" s="64" t="e">
        <f>'Conversion Deio3'!M11</f>
        <v>#DIV/0!</v>
      </c>
      <c r="AB12" s="64" t="e">
        <f>'Conversion Deio3'!M12</f>
        <v>#DIV/0!</v>
      </c>
      <c r="AC12" s="64" t="e">
        <f t="shared" si="1"/>
        <v>#DIV/0!</v>
      </c>
      <c r="AD12" s="64" t="e">
        <f>AA12-$AC$4</f>
        <v>#DIV/0!</v>
      </c>
      <c r="AE12" s="64" t="e">
        <f>AB12-$AC$4</f>
        <v>#DIV/0!</v>
      </c>
      <c r="AF12" s="64" t="e">
        <f>AC12-$AC$4</f>
        <v>#DIV/0!</v>
      </c>
      <c r="AG12" s="65" t="e">
        <f>#REF!</f>
        <v>#REF!</v>
      </c>
      <c r="AH12" s="65" t="e">
        <f>#REF!</f>
        <v>#REF!</v>
      </c>
      <c r="AI12" s="65">
        <v>0</v>
      </c>
      <c r="AJ12" s="65" t="e">
        <f>AG12-$AI$4</f>
        <v>#REF!</v>
      </c>
      <c r="AK12" s="65" t="e">
        <f t="shared" si="3"/>
        <v>#REF!</v>
      </c>
      <c r="AL12" s="65">
        <f t="shared" si="3"/>
        <v>0</v>
      </c>
      <c r="AM12" s="66" t="e">
        <f>#REF!</f>
        <v>#REF!</v>
      </c>
      <c r="AN12" s="66" t="e">
        <f>#REF!</f>
        <v>#REF!</v>
      </c>
      <c r="AO12" s="66" t="e">
        <f>AVERAGE(AM12:AN12)</f>
        <v>#REF!</v>
      </c>
      <c r="AP12" s="66" t="e">
        <f>AM12-$AO$4</f>
        <v>#REF!</v>
      </c>
      <c r="AQ12" s="66" t="e">
        <f>AN12-$AO$4</f>
        <v>#REF!</v>
      </c>
      <c r="AR12" s="67" t="e">
        <f t="shared" si="5"/>
        <v>#REF!</v>
      </c>
    </row>
    <row r="13" spans="1:44" x14ac:dyDescent="0.25">
      <c r="A13" s="129"/>
      <c r="B13" s="135"/>
      <c r="C13" s="135"/>
      <c r="D13" s="146"/>
      <c r="F13" s="137"/>
      <c r="G13" s="52"/>
      <c r="H13" s="88" t="s">
        <v>108</v>
      </c>
      <c r="I13" s="26"/>
      <c r="J13" s="61"/>
      <c r="K13" s="61" t="e">
        <f>_xlfn.STDEV.S(I12:J12)</f>
        <v>#DIV/0!</v>
      </c>
      <c r="L13" s="61"/>
      <c r="M13" s="61"/>
      <c r="N13" s="61" t="e">
        <f>_xlfn.STDEV.S(L12:M12)</f>
        <v>#DIV/0!</v>
      </c>
      <c r="O13" s="62"/>
      <c r="P13" s="62"/>
      <c r="Q13" s="62" t="e">
        <f>_xlfn.STDEV.S(O12:P12)</f>
        <v>#DIV/0!</v>
      </c>
      <c r="R13" s="62"/>
      <c r="S13" s="62"/>
      <c r="T13" s="62" t="e">
        <f>_xlfn.STDEV.S(R12:S12)</f>
        <v>#DIV/0!</v>
      </c>
      <c r="U13" s="63"/>
      <c r="V13" s="63"/>
      <c r="W13" s="63" t="e">
        <f>_xlfn.STDEV.S(U12:V12)</f>
        <v>#DIV/0!</v>
      </c>
      <c r="X13" s="63"/>
      <c r="Y13" s="63"/>
      <c r="Z13" s="63" t="e">
        <f>_xlfn.STDEV.S(X12:Y12)</f>
        <v>#DIV/0!</v>
      </c>
      <c r="AA13" s="64"/>
      <c r="AB13" s="64"/>
      <c r="AC13" s="64" t="e">
        <f>_xlfn.STDEV.S(AA12:AB12)</f>
        <v>#DIV/0!</v>
      </c>
      <c r="AD13" s="64"/>
      <c r="AE13" s="64"/>
      <c r="AF13" s="64" t="e">
        <f>_xlfn.STDEV.S(AD12:AE12)</f>
        <v>#DIV/0!</v>
      </c>
      <c r="AG13" s="65"/>
      <c r="AH13" s="65"/>
      <c r="AI13" s="65"/>
      <c r="AJ13" s="65"/>
      <c r="AK13" s="65"/>
      <c r="AL13" s="65"/>
      <c r="AM13" s="66"/>
      <c r="AN13" s="66"/>
      <c r="AO13" s="66"/>
      <c r="AP13" s="66"/>
      <c r="AQ13" s="66"/>
      <c r="AR13" s="67"/>
    </row>
    <row r="14" spans="1:44" x14ac:dyDescent="0.25">
      <c r="A14" s="138">
        <v>5</v>
      </c>
      <c r="B14" s="138"/>
      <c r="C14" s="134"/>
      <c r="D14" s="106"/>
      <c r="E14" s="12"/>
      <c r="F14" s="136"/>
      <c r="H14" s="89"/>
      <c r="I14" s="26" t="e">
        <f>'Conversion Deio3'!J13</f>
        <v>#DIV/0!</v>
      </c>
      <c r="J14" s="61" t="e">
        <f>'Conversion Deio2'!J14</f>
        <v>#DIV/0!</v>
      </c>
      <c r="K14" s="61" t="e">
        <f t="shared" ref="K14" si="7">AVERAGE(I14:J14)</f>
        <v>#DIV/0!</v>
      </c>
      <c r="L14" s="61" t="e">
        <f>I14-$K$4</f>
        <v>#DIV/0!</v>
      </c>
      <c r="M14" s="61" t="e">
        <f>J14-$K$4</f>
        <v>#DIV/0!</v>
      </c>
      <c r="N14" s="61" t="e">
        <f>K14-$K$4</f>
        <v>#DIV/0!</v>
      </c>
      <c r="O14" s="62" t="e">
        <f>'Conversion Deio3'!K13</f>
        <v>#DIV/0!</v>
      </c>
      <c r="P14" s="62" t="e">
        <f>'Conversion Deio3'!K14</f>
        <v>#DIV/0!</v>
      </c>
      <c r="Q14" s="62" t="e">
        <f>AVERAGE(O14:P14)</f>
        <v>#DIV/0!</v>
      </c>
      <c r="R14" s="62" t="e">
        <f>O14-$Q$4</f>
        <v>#DIV/0!</v>
      </c>
      <c r="S14" s="62" t="e">
        <f>P14-$Q$4</f>
        <v>#DIV/0!</v>
      </c>
      <c r="T14" s="62" t="e">
        <f>AVERAGE(R14:S14)</f>
        <v>#DIV/0!</v>
      </c>
      <c r="U14" s="63" t="e">
        <f>'Conversion Deio3'!L13</f>
        <v>#DIV/0!</v>
      </c>
      <c r="V14" s="63" t="e">
        <f>'Conversion Deio3'!L14</f>
        <v>#DIV/0!</v>
      </c>
      <c r="W14" s="63" t="e">
        <f>AVERAGE(U14:V14)</f>
        <v>#DIV/0!</v>
      </c>
      <c r="X14" s="63" t="e">
        <f>U14-$W$4</f>
        <v>#DIV/0!</v>
      </c>
      <c r="Y14" s="63" t="e">
        <f>V14-$W$4</f>
        <v>#DIV/0!</v>
      </c>
      <c r="Z14" s="63" t="e">
        <f>AVERAGE(W14-$W$4)</f>
        <v>#DIV/0!</v>
      </c>
      <c r="AA14" s="64" t="e">
        <f>'Conversion Deio3'!M13</f>
        <v>#DIV/0!</v>
      </c>
      <c r="AB14" s="64" t="e">
        <f>'Conversion Deio3'!M14</f>
        <v>#DIV/0!</v>
      </c>
      <c r="AC14" s="64" t="e">
        <f t="shared" ref="AC14" si="8">AVERAGE(AA14:AB14)</f>
        <v>#DIV/0!</v>
      </c>
      <c r="AD14" s="64" t="e">
        <f>AA14-$AC$4</f>
        <v>#DIV/0!</v>
      </c>
      <c r="AE14" s="64" t="e">
        <f>AB14-$AC$4</f>
        <v>#DIV/0!</v>
      </c>
      <c r="AF14" s="64" t="e">
        <f>AC14-$AC$4</f>
        <v>#DIV/0!</v>
      </c>
      <c r="AG14" s="65" t="e">
        <f>#REF!</f>
        <v>#REF!</v>
      </c>
      <c r="AH14" s="65" t="e">
        <f>#REF!</f>
        <v>#REF!</v>
      </c>
      <c r="AI14" s="65">
        <v>0</v>
      </c>
      <c r="AJ14" s="65" t="e">
        <f>AG14-$AI$4</f>
        <v>#REF!</v>
      </c>
      <c r="AK14" s="65" t="e">
        <f t="shared" ref="AK14:AL14" si="9">AH14-$AI$4</f>
        <v>#REF!</v>
      </c>
      <c r="AL14" s="65">
        <f t="shared" si="9"/>
        <v>0</v>
      </c>
      <c r="AM14" s="66" t="e">
        <f>#REF!</f>
        <v>#REF!</v>
      </c>
      <c r="AN14" s="66" t="e">
        <f>#REF!</f>
        <v>#REF!</v>
      </c>
      <c r="AO14" s="66" t="e">
        <f>AVERAGE(AM14:AN14)</f>
        <v>#REF!</v>
      </c>
      <c r="AP14" s="66" t="e">
        <f>AM14-$AO$4</f>
        <v>#REF!</v>
      </c>
      <c r="AQ14" s="66" t="e">
        <f>AN14-$AO$4</f>
        <v>#REF!</v>
      </c>
      <c r="AR14" s="67" t="e">
        <f t="shared" ref="AR14" si="10">AO14-$AO$4</f>
        <v>#REF!</v>
      </c>
    </row>
    <row r="15" spans="1:44" x14ac:dyDescent="0.25">
      <c r="A15" s="135"/>
      <c r="B15" s="135"/>
      <c r="C15" s="135"/>
      <c r="D15" s="106"/>
      <c r="F15" s="137"/>
      <c r="H15" s="90" t="s">
        <v>108</v>
      </c>
      <c r="I15" s="26"/>
      <c r="J15" s="61"/>
      <c r="K15" s="61" t="e">
        <f>_xlfn.STDEV.S(I14:J14)</f>
        <v>#DIV/0!</v>
      </c>
      <c r="L15" s="61"/>
      <c r="M15" s="61"/>
      <c r="N15" s="61" t="e">
        <f>_xlfn.STDEV.S(L14:M14)</f>
        <v>#DIV/0!</v>
      </c>
      <c r="O15" s="62"/>
      <c r="P15" s="62"/>
      <c r="Q15" s="62" t="e">
        <f>_xlfn.STDEV.S(O14:P14)</f>
        <v>#DIV/0!</v>
      </c>
      <c r="R15" s="62"/>
      <c r="S15" s="62"/>
      <c r="T15" s="62" t="e">
        <f>_xlfn.STDEV.S(R14:S14)</f>
        <v>#DIV/0!</v>
      </c>
      <c r="U15" s="63"/>
      <c r="V15" s="63"/>
      <c r="W15" s="63" t="e">
        <f>_xlfn.STDEV.S(U14:V14)</f>
        <v>#DIV/0!</v>
      </c>
      <c r="X15" s="63"/>
      <c r="Y15" s="63"/>
      <c r="Z15" s="63" t="e">
        <f>_xlfn.STDEV.S(X14:Y14)</f>
        <v>#DIV/0!</v>
      </c>
      <c r="AA15" s="64"/>
      <c r="AB15" s="64"/>
      <c r="AC15" s="64" t="e">
        <f>_xlfn.STDEV.S(AA14:AB14)</f>
        <v>#DIV/0!</v>
      </c>
      <c r="AD15" s="64"/>
      <c r="AE15" s="64"/>
      <c r="AF15" s="64" t="e">
        <f>_xlfn.STDEV.S(AD14:AE14)</f>
        <v>#DIV/0!</v>
      </c>
      <c r="AG15" s="65"/>
      <c r="AH15" s="65"/>
      <c r="AI15" s="65"/>
      <c r="AJ15" s="65"/>
      <c r="AK15" s="65"/>
      <c r="AL15" s="65"/>
      <c r="AM15" s="66"/>
      <c r="AN15" s="66"/>
      <c r="AO15" s="66"/>
      <c r="AP15" s="66"/>
      <c r="AQ15" s="66"/>
      <c r="AR15" s="67"/>
    </row>
    <row r="16" spans="1:44" x14ac:dyDescent="0.25">
      <c r="A16" s="138">
        <v>6</v>
      </c>
      <c r="B16" s="138"/>
      <c r="C16" s="138"/>
      <c r="D16" s="103"/>
      <c r="E16" s="12"/>
      <c r="F16" s="136"/>
      <c r="G16" s="12"/>
      <c r="H16" s="88"/>
      <c r="I16" s="26" t="e">
        <f>'Conversion Deio3'!J15</f>
        <v>#DIV/0!</v>
      </c>
      <c r="J16" s="61" t="e">
        <f>'Conversion Deio3'!J16</f>
        <v>#DIV/0!</v>
      </c>
      <c r="K16" s="61" t="e">
        <f t="shared" ref="K16" si="11">AVERAGE(I16:J16)</f>
        <v>#DIV/0!</v>
      </c>
      <c r="L16" s="61" t="e">
        <f>I16-$K$4</f>
        <v>#DIV/0!</v>
      </c>
      <c r="M16" s="61" t="e">
        <f>J16-$K$4</f>
        <v>#DIV/0!</v>
      </c>
      <c r="N16" s="61" t="e">
        <f>K16-$K$4</f>
        <v>#DIV/0!</v>
      </c>
      <c r="O16" s="62" t="e">
        <f>'Conversion Deio3'!K15</f>
        <v>#DIV/0!</v>
      </c>
      <c r="P16" s="62" t="e">
        <f>'Conversion Deio3'!K16</f>
        <v>#DIV/0!</v>
      </c>
      <c r="Q16" s="62" t="e">
        <f>AVERAGE(O16:P16)</f>
        <v>#DIV/0!</v>
      </c>
      <c r="R16" s="62" t="e">
        <f>O16-$Q$4</f>
        <v>#DIV/0!</v>
      </c>
      <c r="S16" s="62" t="e">
        <f>P16-$Q$4</f>
        <v>#DIV/0!</v>
      </c>
      <c r="T16" s="62" t="e">
        <f>AVERAGE(R16:S16)</f>
        <v>#DIV/0!</v>
      </c>
      <c r="U16" s="63" t="e">
        <f>'Conversion Deio3'!L15</f>
        <v>#DIV/0!</v>
      </c>
      <c r="V16" s="63" t="e">
        <f>'Conversion Deio3'!L16</f>
        <v>#DIV/0!</v>
      </c>
      <c r="W16" s="63" t="e">
        <f>AVERAGE(U16:V16)</f>
        <v>#DIV/0!</v>
      </c>
      <c r="X16" s="63" t="e">
        <f>U16-$W$4</f>
        <v>#DIV/0!</v>
      </c>
      <c r="Y16" s="63" t="e">
        <f>V16-$W$4</f>
        <v>#DIV/0!</v>
      </c>
      <c r="Z16" s="63" t="e">
        <f>AVERAGE(W16-$W$4)</f>
        <v>#DIV/0!</v>
      </c>
      <c r="AA16" s="64" t="e">
        <f>'Conversion Deio3'!M15</f>
        <v>#DIV/0!</v>
      </c>
      <c r="AB16" s="64" t="e">
        <f>'Conversion Deio3'!M16</f>
        <v>#DIV/0!</v>
      </c>
      <c r="AC16" s="64" t="e">
        <f t="shared" ref="AC16" si="12">AVERAGE(AA16:AB16)</f>
        <v>#DIV/0!</v>
      </c>
      <c r="AD16" s="64" t="e">
        <f>AA16-$AC$4</f>
        <v>#DIV/0!</v>
      </c>
      <c r="AE16" s="64" t="e">
        <f>AB16-$AC$4</f>
        <v>#DIV/0!</v>
      </c>
      <c r="AF16" s="64" t="e">
        <f>AC16-$AC$4</f>
        <v>#DIV/0!</v>
      </c>
      <c r="AG16" s="65" t="e">
        <f>#REF!</f>
        <v>#REF!</v>
      </c>
      <c r="AH16" s="65" t="e">
        <f>#REF!</f>
        <v>#REF!</v>
      </c>
      <c r="AI16" s="65">
        <v>0</v>
      </c>
      <c r="AJ16" s="65" t="e">
        <f>AG16-$AI$4</f>
        <v>#REF!</v>
      </c>
      <c r="AK16" s="65" t="e">
        <f t="shared" ref="AK16:AL16" si="13">AH16-$AI$4</f>
        <v>#REF!</v>
      </c>
      <c r="AL16" s="65">
        <f t="shared" si="13"/>
        <v>0</v>
      </c>
      <c r="AM16" s="66" t="e">
        <f>#REF!</f>
        <v>#REF!</v>
      </c>
      <c r="AN16" s="66" t="e">
        <f>#REF!</f>
        <v>#REF!</v>
      </c>
      <c r="AO16" s="66" t="e">
        <f>AVERAGE(AM16:AN16)</f>
        <v>#REF!</v>
      </c>
      <c r="AP16" s="66" t="e">
        <f>AM16-$AO$4</f>
        <v>#REF!</v>
      </c>
      <c r="AQ16" s="66" t="e">
        <f>AN16-$AO$4</f>
        <v>#REF!</v>
      </c>
      <c r="AR16" s="67" t="e">
        <f t="shared" ref="AR16" si="14">AO16-$AO$4</f>
        <v>#REF!</v>
      </c>
    </row>
    <row r="17" spans="1:44" x14ac:dyDescent="0.25">
      <c r="A17" s="135"/>
      <c r="B17" s="135"/>
      <c r="C17" s="135"/>
      <c r="D17" s="104"/>
      <c r="E17" s="52"/>
      <c r="F17" s="137"/>
      <c r="H17" s="90" t="s">
        <v>108</v>
      </c>
      <c r="I17" s="26"/>
      <c r="J17" s="61"/>
      <c r="K17" s="61" t="e">
        <f>_xlfn.STDEV.S(I16:J16)</f>
        <v>#DIV/0!</v>
      </c>
      <c r="L17" s="61"/>
      <c r="M17" s="61"/>
      <c r="N17" s="61" t="e">
        <f>_xlfn.STDEV.S(L16:M16)</f>
        <v>#DIV/0!</v>
      </c>
      <c r="O17" s="62"/>
      <c r="P17" s="62"/>
      <c r="Q17" s="62" t="e">
        <f>_xlfn.STDEV.S(O16:P16)</f>
        <v>#DIV/0!</v>
      </c>
      <c r="R17" s="62"/>
      <c r="S17" s="62"/>
      <c r="T17" s="62" t="e">
        <f>_xlfn.STDEV.S(R16:S16)</f>
        <v>#DIV/0!</v>
      </c>
      <c r="U17" s="63"/>
      <c r="V17" s="63"/>
      <c r="W17" s="63" t="e">
        <f>_xlfn.STDEV.S(U16:V16)</f>
        <v>#DIV/0!</v>
      </c>
      <c r="X17" s="63"/>
      <c r="Y17" s="63"/>
      <c r="Z17" s="63" t="e">
        <f>_xlfn.STDEV.S(X16:Y16)</f>
        <v>#DIV/0!</v>
      </c>
      <c r="AA17" s="64"/>
      <c r="AB17" s="64"/>
      <c r="AC17" s="64" t="e">
        <f>_xlfn.STDEV.S(AA16:AB16)</f>
        <v>#DIV/0!</v>
      </c>
      <c r="AD17" s="64"/>
      <c r="AE17" s="64"/>
      <c r="AF17" s="64" t="e">
        <f>_xlfn.STDEV.S(AD16:AE16)</f>
        <v>#DIV/0!</v>
      </c>
      <c r="AG17" s="65"/>
      <c r="AH17" s="65"/>
      <c r="AI17" s="65"/>
      <c r="AJ17" s="65"/>
      <c r="AK17" s="65"/>
      <c r="AL17" s="65"/>
      <c r="AM17" s="66"/>
      <c r="AN17" s="66"/>
      <c r="AO17" s="66"/>
      <c r="AP17" s="66"/>
      <c r="AQ17" s="66"/>
      <c r="AR17" s="67"/>
    </row>
    <row r="18" spans="1:44" x14ac:dyDescent="0.25">
      <c r="A18" s="138">
        <v>7</v>
      </c>
      <c r="B18" s="129"/>
      <c r="C18" s="134"/>
      <c r="D18" s="106"/>
      <c r="F18" s="157"/>
      <c r="G18" s="12"/>
      <c r="H18" s="88"/>
      <c r="I18" s="26" t="e">
        <f>'Conversion Deio3'!J17</f>
        <v>#DIV/0!</v>
      </c>
      <c r="J18" s="61" t="e">
        <f>'Conversion Deio3'!J18</f>
        <v>#DIV/0!</v>
      </c>
      <c r="K18" s="61" t="e">
        <f t="shared" ref="K18" si="15">AVERAGE(I18:J18)</f>
        <v>#DIV/0!</v>
      </c>
      <c r="L18" s="61" t="e">
        <f>I18-$K$4</f>
        <v>#DIV/0!</v>
      </c>
      <c r="M18" s="61" t="e">
        <f>J18-$K$4</f>
        <v>#DIV/0!</v>
      </c>
      <c r="N18" s="61" t="e">
        <f>K18-$K$4</f>
        <v>#DIV/0!</v>
      </c>
      <c r="O18" s="62" t="e">
        <f>'Conversion Deio3'!K17</f>
        <v>#DIV/0!</v>
      </c>
      <c r="P18" s="62" t="e">
        <f>'Conversion Deio3'!K18</f>
        <v>#DIV/0!</v>
      </c>
      <c r="Q18" s="62" t="e">
        <f>AVERAGE(O18:P18)</f>
        <v>#DIV/0!</v>
      </c>
      <c r="R18" s="62" t="e">
        <f>O18-$Q$4</f>
        <v>#DIV/0!</v>
      </c>
      <c r="S18" s="62" t="e">
        <f>P18-$Q$4</f>
        <v>#DIV/0!</v>
      </c>
      <c r="T18" s="62" t="e">
        <f>AVERAGE(R18:S18)</f>
        <v>#DIV/0!</v>
      </c>
      <c r="U18" s="63" t="e">
        <f>'Conversion Deio3'!L17</f>
        <v>#DIV/0!</v>
      </c>
      <c r="V18" s="63" t="e">
        <f>'Conversion Deio3'!L18</f>
        <v>#DIV/0!</v>
      </c>
      <c r="W18" s="63" t="e">
        <f>AVERAGE(U18:V18)</f>
        <v>#DIV/0!</v>
      </c>
      <c r="X18" s="63" t="e">
        <f>U18-$W$4</f>
        <v>#DIV/0!</v>
      </c>
      <c r="Y18" s="63" t="e">
        <f>V18-$W$4</f>
        <v>#DIV/0!</v>
      </c>
      <c r="Z18" s="63" t="e">
        <f>AVERAGE(W18-$W$4)</f>
        <v>#DIV/0!</v>
      </c>
      <c r="AA18" s="64" t="e">
        <f>'Conversion Deio3'!M17</f>
        <v>#DIV/0!</v>
      </c>
      <c r="AB18" s="64" t="e">
        <f>'Conversion Deio3'!M18</f>
        <v>#DIV/0!</v>
      </c>
      <c r="AC18" s="64" t="e">
        <f t="shared" ref="AC18" si="16">AVERAGE(AA18:AB18)</f>
        <v>#DIV/0!</v>
      </c>
      <c r="AD18" s="64" t="e">
        <f>AA18-$AC$4</f>
        <v>#DIV/0!</v>
      </c>
      <c r="AE18" s="64" t="e">
        <f>AB18-$AC$4</f>
        <v>#DIV/0!</v>
      </c>
      <c r="AF18" s="64" t="e">
        <f>AC18-$AC$4</f>
        <v>#DIV/0!</v>
      </c>
      <c r="AG18" s="65" t="e">
        <f>#REF!</f>
        <v>#REF!</v>
      </c>
      <c r="AH18" s="65" t="e">
        <f>#REF!</f>
        <v>#REF!</v>
      </c>
      <c r="AI18" s="65">
        <v>0</v>
      </c>
      <c r="AJ18" s="65" t="e">
        <f>AG18-$AI$4</f>
        <v>#REF!</v>
      </c>
      <c r="AK18" s="65" t="e">
        <f t="shared" ref="AK18:AL18" si="17">AH18-$AI$4</f>
        <v>#REF!</v>
      </c>
      <c r="AL18" s="65">
        <f t="shared" si="17"/>
        <v>0</v>
      </c>
      <c r="AM18" s="66" t="e">
        <f>#REF!</f>
        <v>#REF!</v>
      </c>
      <c r="AN18" s="66" t="e">
        <f>#REF!</f>
        <v>#REF!</v>
      </c>
      <c r="AO18" s="66" t="e">
        <f>AVERAGE(AM18:AN18)</f>
        <v>#REF!</v>
      </c>
      <c r="AP18" s="66" t="e">
        <f>AM18-$AO$4</f>
        <v>#REF!</v>
      </c>
      <c r="AQ18" s="66" t="e">
        <f>AN18-$AO$4</f>
        <v>#REF!</v>
      </c>
      <c r="AR18" s="67" t="e">
        <f t="shared" ref="AR18" si="18">AO18-$AO$4</f>
        <v>#REF!</v>
      </c>
    </row>
    <row r="19" spans="1:44" x14ac:dyDescent="0.25">
      <c r="A19" s="135"/>
      <c r="B19" s="129"/>
      <c r="C19" s="135"/>
      <c r="D19" s="106"/>
      <c r="E19" s="52"/>
      <c r="F19" s="158"/>
      <c r="H19" s="90" t="s">
        <v>108</v>
      </c>
      <c r="I19" s="26"/>
      <c r="J19" s="61"/>
      <c r="K19" s="61" t="e">
        <f>_xlfn.STDEV.S(I18:J18)</f>
        <v>#DIV/0!</v>
      </c>
      <c r="L19" s="61"/>
      <c r="M19" s="61"/>
      <c r="N19" s="61" t="e">
        <f>_xlfn.STDEV.S(L18:M18)</f>
        <v>#DIV/0!</v>
      </c>
      <c r="O19" s="62"/>
      <c r="P19" s="62"/>
      <c r="Q19" s="62" t="e">
        <f>_xlfn.STDEV.S(O18:P18)</f>
        <v>#DIV/0!</v>
      </c>
      <c r="R19" s="62"/>
      <c r="S19" s="62"/>
      <c r="T19" s="62" t="e">
        <f>_xlfn.STDEV.S(R18:S18)</f>
        <v>#DIV/0!</v>
      </c>
      <c r="U19" s="63"/>
      <c r="V19" s="63"/>
      <c r="W19" s="63" t="e">
        <f>_xlfn.STDEV.S(U18:V18)</f>
        <v>#DIV/0!</v>
      </c>
      <c r="X19" s="63"/>
      <c r="Y19" s="63"/>
      <c r="Z19" s="63" t="e">
        <f>_xlfn.STDEV.S(X18:Y18)</f>
        <v>#DIV/0!</v>
      </c>
      <c r="AA19" s="64"/>
      <c r="AB19" s="64"/>
      <c r="AC19" s="64" t="e">
        <f>_xlfn.STDEV.S(AA18:AB18)</f>
        <v>#DIV/0!</v>
      </c>
      <c r="AD19" s="64"/>
      <c r="AE19" s="64"/>
      <c r="AF19" s="64" t="e">
        <f>_xlfn.STDEV.S(AD18:AE18)</f>
        <v>#DIV/0!</v>
      </c>
      <c r="AG19" s="65"/>
      <c r="AH19" s="65"/>
      <c r="AI19" s="65"/>
      <c r="AJ19" s="65"/>
      <c r="AK19" s="65"/>
      <c r="AL19" s="65"/>
      <c r="AM19" s="66"/>
      <c r="AN19" s="66"/>
      <c r="AO19" s="66"/>
      <c r="AP19" s="66"/>
      <c r="AQ19" s="66"/>
      <c r="AR19" s="67"/>
    </row>
    <row r="20" spans="1:44" x14ac:dyDescent="0.25">
      <c r="A20" s="129">
        <v>8</v>
      </c>
      <c r="B20" s="138"/>
      <c r="C20" s="138"/>
      <c r="D20" s="103"/>
      <c r="F20" s="157"/>
      <c r="G20" s="12"/>
      <c r="H20" s="88"/>
      <c r="I20" s="26" t="e">
        <f>'Conversion Deio3'!J19</f>
        <v>#DIV/0!</v>
      </c>
      <c r="J20" s="61" t="e">
        <f>'Conversion Deio3'!J20</f>
        <v>#DIV/0!</v>
      </c>
      <c r="K20" s="61" t="e">
        <f t="shared" ref="K20" si="19">AVERAGE(I20:J20)</f>
        <v>#DIV/0!</v>
      </c>
      <c r="L20" s="61" t="e">
        <f>I20-$K$4</f>
        <v>#DIV/0!</v>
      </c>
      <c r="M20" s="61" t="e">
        <f>J20-$K$4</f>
        <v>#DIV/0!</v>
      </c>
      <c r="N20" s="61" t="e">
        <f>K20-$K$4</f>
        <v>#DIV/0!</v>
      </c>
      <c r="O20" s="62" t="e">
        <f>'Conversion Deio3'!K19</f>
        <v>#DIV/0!</v>
      </c>
      <c r="P20" s="62" t="e">
        <f>'Conversion Deio3'!K20</f>
        <v>#DIV/0!</v>
      </c>
      <c r="Q20" s="62" t="e">
        <f>AVERAGE(O20:P20)</f>
        <v>#DIV/0!</v>
      </c>
      <c r="R20" s="62" t="e">
        <f>O20-$Q$4</f>
        <v>#DIV/0!</v>
      </c>
      <c r="S20" s="62" t="e">
        <f>P20-$Q$4</f>
        <v>#DIV/0!</v>
      </c>
      <c r="T20" s="62" t="e">
        <f>AVERAGE(R20:S20)</f>
        <v>#DIV/0!</v>
      </c>
      <c r="U20" s="63" t="e">
        <f>'Conversion Deio3'!L19</f>
        <v>#DIV/0!</v>
      </c>
      <c r="V20" s="63" t="e">
        <f>'Conversion Deio3'!L20</f>
        <v>#DIV/0!</v>
      </c>
      <c r="W20" s="63" t="e">
        <f>AVERAGE(U20:V20)</f>
        <v>#DIV/0!</v>
      </c>
      <c r="X20" s="63" t="e">
        <f>U20-$W$4</f>
        <v>#DIV/0!</v>
      </c>
      <c r="Y20" s="63" t="e">
        <f>V20-$W$4</f>
        <v>#DIV/0!</v>
      </c>
      <c r="Z20" s="63" t="e">
        <f>AVERAGE(W20-$W$4)</f>
        <v>#DIV/0!</v>
      </c>
      <c r="AA20" s="64" t="e">
        <f>'Conversion Deio3'!M19</f>
        <v>#DIV/0!</v>
      </c>
      <c r="AB20" s="64" t="e">
        <f>'Conversion Deio3'!M20</f>
        <v>#DIV/0!</v>
      </c>
      <c r="AC20" s="64" t="e">
        <f t="shared" ref="AC20" si="20">AVERAGE(AA20:AB20)</f>
        <v>#DIV/0!</v>
      </c>
      <c r="AD20" s="64" t="e">
        <f>AA20-$AC$4</f>
        <v>#DIV/0!</v>
      </c>
      <c r="AE20" s="64" t="e">
        <f>AB20-$AC$4</f>
        <v>#DIV/0!</v>
      </c>
      <c r="AF20" s="64" t="e">
        <f>AC20-$AC$4</f>
        <v>#DIV/0!</v>
      </c>
      <c r="AG20" s="65" t="e">
        <f>#REF!</f>
        <v>#REF!</v>
      </c>
      <c r="AH20" s="65" t="e">
        <f>#REF!</f>
        <v>#REF!</v>
      </c>
      <c r="AI20" s="65">
        <v>0</v>
      </c>
      <c r="AJ20" s="65" t="e">
        <f>AG20-$AI$4</f>
        <v>#REF!</v>
      </c>
      <c r="AK20" s="65" t="e">
        <f t="shared" ref="AK20:AL20" si="21">AH20-$AI$4</f>
        <v>#REF!</v>
      </c>
      <c r="AL20" s="65">
        <f t="shared" si="21"/>
        <v>0</v>
      </c>
      <c r="AM20" s="66" t="e">
        <f>#REF!</f>
        <v>#REF!</v>
      </c>
      <c r="AN20" s="66" t="e">
        <f>#REF!</f>
        <v>#REF!</v>
      </c>
      <c r="AO20" s="66" t="e">
        <f>AVERAGE(AM20:AN20)</f>
        <v>#REF!</v>
      </c>
      <c r="AP20" s="66" t="e">
        <f>AM20-$AO$4</f>
        <v>#REF!</v>
      </c>
      <c r="AQ20" s="66" t="e">
        <f>AN20-$AO$4</f>
        <v>#REF!</v>
      </c>
      <c r="AR20" s="67" t="e">
        <f t="shared" ref="AR20" si="22">AO20-$AO$4</f>
        <v>#REF!</v>
      </c>
    </row>
    <row r="21" spans="1:44" x14ac:dyDescent="0.25">
      <c r="A21" s="129"/>
      <c r="B21" s="129"/>
      <c r="C21" s="135"/>
      <c r="D21" s="106"/>
      <c r="E21" s="52"/>
      <c r="F21" s="158"/>
      <c r="G21" s="52"/>
      <c r="H21" s="90" t="s">
        <v>108</v>
      </c>
      <c r="I21" s="26"/>
      <c r="J21" s="61"/>
      <c r="K21" s="61" t="e">
        <f>_xlfn.STDEV.S(I20:J20)</f>
        <v>#DIV/0!</v>
      </c>
      <c r="L21" s="61"/>
      <c r="M21" s="61"/>
      <c r="N21" s="61" t="e">
        <f>_xlfn.STDEV.S(L20:M20)</f>
        <v>#DIV/0!</v>
      </c>
      <c r="O21" s="62"/>
      <c r="P21" s="62"/>
      <c r="Q21" s="62" t="e">
        <f>_xlfn.STDEV.S(O20:P20)</f>
        <v>#DIV/0!</v>
      </c>
      <c r="R21" s="62"/>
      <c r="S21" s="62"/>
      <c r="T21" s="62" t="e">
        <f>_xlfn.STDEV.S(R20:S20)</f>
        <v>#DIV/0!</v>
      </c>
      <c r="U21" s="63"/>
      <c r="V21" s="63"/>
      <c r="W21" s="63" t="e">
        <f>_xlfn.STDEV.S(U20:V20)</f>
        <v>#DIV/0!</v>
      </c>
      <c r="X21" s="63"/>
      <c r="Y21" s="63"/>
      <c r="Z21" s="63" t="e">
        <f>_xlfn.STDEV.S(X20:Y20)</f>
        <v>#DIV/0!</v>
      </c>
      <c r="AA21" s="64"/>
      <c r="AB21" s="64"/>
      <c r="AC21" s="64" t="e">
        <f>_xlfn.STDEV.S(AA20:AB20)</f>
        <v>#DIV/0!</v>
      </c>
      <c r="AD21" s="64"/>
      <c r="AE21" s="64"/>
      <c r="AF21" s="64" t="e">
        <f>_xlfn.STDEV.S(AD20:AE20)</f>
        <v>#DIV/0!</v>
      </c>
      <c r="AG21" s="65"/>
      <c r="AH21" s="65"/>
      <c r="AI21" s="65"/>
      <c r="AJ21" s="65"/>
      <c r="AK21" s="65"/>
      <c r="AL21" s="65"/>
      <c r="AM21" s="66"/>
      <c r="AN21" s="66"/>
      <c r="AO21" s="66"/>
      <c r="AP21" s="66"/>
      <c r="AQ21" s="66"/>
      <c r="AR21" s="67"/>
    </row>
    <row r="22" spans="1:44" x14ac:dyDescent="0.25">
      <c r="A22" s="92"/>
      <c r="B22" s="92"/>
      <c r="C22" s="92"/>
      <c r="D22" s="93"/>
      <c r="E22" s="55"/>
      <c r="F22" s="81"/>
      <c r="G22" s="55"/>
      <c r="H22" s="55"/>
      <c r="I22" s="73"/>
      <c r="J22" s="73"/>
      <c r="K22" s="73"/>
      <c r="L22" s="73"/>
      <c r="M22" s="73"/>
      <c r="N22" s="73"/>
      <c r="O22" s="82"/>
      <c r="P22" s="82"/>
      <c r="Q22" s="82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</row>
    <row r="23" spans="1:44" x14ac:dyDescent="0.25">
      <c r="A23" s="79"/>
      <c r="B23" s="79"/>
      <c r="C23" s="79"/>
      <c r="D23" s="80"/>
      <c r="E23" s="55"/>
      <c r="F23" s="81"/>
      <c r="G23" s="55"/>
      <c r="H23" s="83"/>
      <c r="I23" s="73"/>
      <c r="J23" s="73"/>
      <c r="K23" s="73"/>
      <c r="L23" s="73"/>
      <c r="M23" s="73"/>
      <c r="N23" s="73"/>
      <c r="O23" s="82"/>
      <c r="P23" s="82"/>
      <c r="Q23" s="82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3"/>
      <c r="AQ23" s="73"/>
      <c r="AR23" s="73"/>
    </row>
    <row r="24" spans="1:44" x14ac:dyDescent="0.25">
      <c r="A24" s="79"/>
      <c r="B24" s="79"/>
      <c r="C24" s="79"/>
      <c r="D24" s="80"/>
      <c r="E24" s="55"/>
      <c r="F24" s="81"/>
      <c r="G24" s="55"/>
      <c r="H24" s="83"/>
      <c r="I24" s="73"/>
      <c r="J24" s="73"/>
      <c r="K24" s="73"/>
      <c r="L24" s="73"/>
      <c r="M24" s="73"/>
      <c r="N24" s="73"/>
      <c r="O24" s="82"/>
      <c r="P24" s="82"/>
      <c r="Q24" s="82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</row>
    <row r="25" spans="1:44" x14ac:dyDescent="0.25">
      <c r="A25" s="79"/>
      <c r="B25" s="79"/>
      <c r="C25" s="79"/>
      <c r="D25" s="80"/>
      <c r="E25" s="55"/>
      <c r="F25" s="81"/>
      <c r="G25" s="55"/>
      <c r="H25" s="83"/>
      <c r="I25" s="73"/>
      <c r="J25" s="73"/>
      <c r="K25" s="73"/>
      <c r="L25" s="73"/>
      <c r="M25" s="73"/>
      <c r="N25" s="73"/>
      <c r="O25" s="82"/>
      <c r="P25" s="82"/>
      <c r="Q25" s="82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</row>
    <row r="26" spans="1:44" x14ac:dyDescent="0.25">
      <c r="A26" s="79"/>
      <c r="B26" s="79"/>
      <c r="C26" s="79"/>
      <c r="D26" s="80"/>
      <c r="E26" s="55"/>
      <c r="F26" s="81"/>
      <c r="G26" s="55"/>
      <c r="H26" s="83"/>
      <c r="I26" s="73"/>
      <c r="J26" s="73"/>
      <c r="K26" s="73"/>
      <c r="L26" s="73"/>
      <c r="M26" s="73"/>
      <c r="N26" s="73"/>
      <c r="O26" s="82"/>
      <c r="P26" s="82"/>
      <c r="Q26" s="82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</row>
    <row r="27" spans="1:44" x14ac:dyDescent="0.25">
      <c r="A27" s="79"/>
      <c r="B27" s="79"/>
      <c r="C27" s="79"/>
      <c r="D27" s="80"/>
      <c r="E27" s="55"/>
      <c r="F27" s="81"/>
      <c r="G27" s="55"/>
      <c r="H27" s="83"/>
      <c r="I27" s="73"/>
      <c r="J27" s="73"/>
      <c r="K27" s="73"/>
      <c r="L27" s="73"/>
      <c r="M27" s="73"/>
      <c r="N27" s="73"/>
      <c r="O27" s="82"/>
      <c r="P27" s="82"/>
      <c r="Q27" s="82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</row>
    <row r="28" spans="1:44" x14ac:dyDescent="0.25">
      <c r="A28" s="79"/>
      <c r="B28" s="79"/>
      <c r="C28" s="79"/>
      <c r="D28" s="80"/>
      <c r="E28" s="55"/>
      <c r="F28" s="81"/>
      <c r="G28" s="55"/>
      <c r="H28" s="83"/>
      <c r="I28" s="73"/>
      <c r="J28" s="73"/>
      <c r="K28" s="73"/>
      <c r="L28" s="73"/>
      <c r="M28" s="73"/>
      <c r="N28" s="73"/>
      <c r="O28" s="82"/>
      <c r="P28" s="82"/>
      <c r="Q28" s="82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</row>
    <row r="29" spans="1:44" x14ac:dyDescent="0.25">
      <c r="A29" s="79"/>
      <c r="B29" s="79"/>
      <c r="C29" s="79"/>
      <c r="D29" s="80"/>
      <c r="E29" s="55"/>
      <c r="F29" s="81"/>
      <c r="G29" s="55"/>
      <c r="H29" s="83"/>
      <c r="I29" s="73"/>
      <c r="J29" s="73"/>
      <c r="K29" s="73"/>
      <c r="L29" s="73"/>
      <c r="M29" s="73"/>
      <c r="N29" s="73"/>
      <c r="O29" s="82"/>
      <c r="P29" s="82"/>
      <c r="Q29" s="82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</row>
    <row r="30" spans="1:44" x14ac:dyDescent="0.25">
      <c r="A30" s="79"/>
      <c r="B30" s="79"/>
      <c r="C30" s="79"/>
      <c r="D30" s="80"/>
      <c r="E30" s="55"/>
      <c r="F30" s="81"/>
      <c r="G30" s="55"/>
      <c r="H30" s="83"/>
      <c r="I30" s="73"/>
      <c r="J30" s="73"/>
      <c r="K30" s="73"/>
      <c r="L30" s="73"/>
      <c r="M30" s="73"/>
      <c r="N30" s="73"/>
      <c r="O30" s="82"/>
      <c r="P30" s="82"/>
      <c r="Q30" s="82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</row>
    <row r="31" spans="1:44" x14ac:dyDescent="0.25">
      <c r="A31" s="79"/>
      <c r="B31" s="79"/>
      <c r="C31" s="79"/>
      <c r="D31" s="80"/>
      <c r="E31" s="55"/>
      <c r="F31" s="81"/>
      <c r="G31" s="55"/>
      <c r="H31" s="83"/>
      <c r="I31" s="73"/>
      <c r="J31" s="73"/>
      <c r="K31" s="73"/>
      <c r="L31" s="73"/>
      <c r="M31" s="73"/>
      <c r="N31" s="73"/>
      <c r="O31" s="82"/>
      <c r="P31" s="82"/>
      <c r="Q31" s="82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</row>
    <row r="32" spans="1:44" x14ac:dyDescent="0.25">
      <c r="A32" s="79"/>
      <c r="B32" s="79"/>
      <c r="C32" s="79"/>
      <c r="D32" s="80"/>
      <c r="E32" s="55"/>
      <c r="F32" s="81"/>
      <c r="G32" s="55"/>
      <c r="H32" s="83"/>
      <c r="I32" s="73"/>
      <c r="J32" s="73"/>
      <c r="K32" s="73"/>
      <c r="L32" s="73"/>
      <c r="M32" s="73"/>
      <c r="N32" s="73"/>
      <c r="O32" s="82"/>
      <c r="P32" s="82"/>
      <c r="Q32" s="82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</row>
    <row r="33" spans="1:44" x14ac:dyDescent="0.25">
      <c r="A33" s="79"/>
      <c r="B33" s="79"/>
      <c r="C33" s="79"/>
      <c r="D33" s="80"/>
      <c r="E33" s="55"/>
      <c r="F33" s="81"/>
      <c r="G33" s="55"/>
      <c r="H33" s="83"/>
      <c r="I33" s="73"/>
      <c r="J33" s="73"/>
      <c r="K33" s="73"/>
      <c r="L33" s="73"/>
      <c r="M33" s="73"/>
      <c r="N33" s="73"/>
      <c r="O33" s="82"/>
      <c r="P33" s="82"/>
      <c r="Q33" s="82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</row>
    <row r="34" spans="1:44" x14ac:dyDescent="0.25">
      <c r="A34" s="79"/>
      <c r="B34" s="79"/>
      <c r="C34" s="79"/>
      <c r="D34" s="80"/>
      <c r="E34" s="55"/>
      <c r="F34" s="81"/>
      <c r="G34" s="55"/>
      <c r="H34" s="83"/>
      <c r="I34" s="73"/>
      <c r="J34" s="73"/>
      <c r="K34" s="73"/>
      <c r="L34" s="73"/>
      <c r="M34" s="73"/>
      <c r="N34" s="73"/>
      <c r="O34" s="82"/>
      <c r="P34" s="82"/>
      <c r="Q34" s="82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</row>
    <row r="35" spans="1:44" x14ac:dyDescent="0.25">
      <c r="A35" s="79"/>
      <c r="B35" s="79"/>
      <c r="C35" s="79"/>
      <c r="D35" s="80"/>
      <c r="E35" s="55"/>
      <c r="F35" s="81"/>
      <c r="G35" s="55"/>
      <c r="H35" s="83"/>
      <c r="I35" s="73"/>
      <c r="J35" s="73"/>
      <c r="K35" s="73"/>
      <c r="L35" s="73"/>
      <c r="M35" s="73"/>
      <c r="N35" s="73"/>
      <c r="O35" s="82"/>
      <c r="P35" s="82"/>
      <c r="Q35" s="82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</row>
    <row r="36" spans="1:44" x14ac:dyDescent="0.25">
      <c r="A36" s="79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</row>
    <row r="37" spans="1:44" ht="15.75" thickBot="1" x14ac:dyDescent="0.3">
      <c r="A37" s="79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</row>
    <row r="38" spans="1:44" ht="15.75" thickBot="1" x14ac:dyDescent="0.3">
      <c r="A38" s="79"/>
      <c r="C38" s="101" t="s">
        <v>103</v>
      </c>
      <c r="D38" s="105" t="s">
        <v>104</v>
      </c>
      <c r="E38" s="119" t="s">
        <v>105</v>
      </c>
      <c r="F38" s="102" t="s">
        <v>106</v>
      </c>
      <c r="G38" s="54"/>
      <c r="H38" s="131" t="s">
        <v>107</v>
      </c>
      <c r="I38" s="132"/>
      <c r="J38" s="100" t="s">
        <v>108</v>
      </c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</row>
    <row r="39" spans="1:44" ht="15.75" thickBot="1" x14ac:dyDescent="0.3">
      <c r="A39" s="79"/>
      <c r="C39" s="54"/>
      <c r="D39" s="54"/>
      <c r="E39" s="54"/>
      <c r="F39" s="54"/>
      <c r="G39" s="54"/>
      <c r="H39" s="54"/>
      <c r="I39" s="54"/>
      <c r="J39" s="54"/>
      <c r="R39" s="54"/>
      <c r="S39" s="54"/>
      <c r="T39" s="130" t="s">
        <v>111</v>
      </c>
      <c r="U39" s="130"/>
      <c r="V39" s="130"/>
      <c r="W39" s="54"/>
      <c r="X39" s="54"/>
      <c r="Y39" s="54"/>
      <c r="Z39" s="54"/>
      <c r="AA39" s="54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</row>
    <row r="40" spans="1:44" x14ac:dyDescent="0.25">
      <c r="A40" s="79"/>
      <c r="B40" s="107" t="s">
        <v>191</v>
      </c>
      <c r="C40" s="57">
        <f>R6+X6</f>
        <v>5.4287237963508668</v>
      </c>
      <c r="D40" s="57">
        <f>S6+Y6</f>
        <v>2.9705898808497748</v>
      </c>
      <c r="E40" s="71">
        <f>C40/$AC$4*2000/120/F6</f>
        <v>1.7469480751992486</v>
      </c>
      <c r="F40" s="71">
        <f>D40/$AC$4*2000/120/F6</f>
        <v>0.9559274830016562</v>
      </c>
      <c r="G40" s="54"/>
      <c r="H40" s="139">
        <f>AVERAGE(E40:F40)</f>
        <v>1.3514377791004524</v>
      </c>
      <c r="I40" s="140"/>
      <c r="J40" s="54">
        <f>_xlfn.STDEV.S(E40:F40)</f>
        <v>0.55933602480111655</v>
      </c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73"/>
      <c r="AC40" s="73"/>
      <c r="AD40" s="73"/>
      <c r="AE40" s="73"/>
      <c r="AF40" s="73"/>
      <c r="AG40" s="73"/>
      <c r="AH40" s="73"/>
      <c r="AI40" s="73"/>
      <c r="AJ40" s="73"/>
      <c r="AK40" s="73"/>
      <c r="AL40" s="73"/>
      <c r="AM40" s="73"/>
      <c r="AN40" s="73"/>
      <c r="AO40" s="73"/>
      <c r="AP40" s="73"/>
      <c r="AQ40" s="73"/>
      <c r="AR40" s="73"/>
    </row>
    <row r="41" spans="1:44" ht="15.75" thickBot="1" x14ac:dyDescent="0.3">
      <c r="A41" s="79"/>
      <c r="B41" s="107" t="s">
        <v>190</v>
      </c>
      <c r="C41" s="57">
        <f>R8+X8</f>
        <v>5.7015810440387282</v>
      </c>
      <c r="D41" s="57">
        <f>S8+Y8</f>
        <v>9.2341308352558986</v>
      </c>
      <c r="E41" s="71">
        <f>C41/$AC$4*2000/120/F8</f>
        <v>1.8465944962837757</v>
      </c>
      <c r="F41" s="71">
        <f>D41/$AC$4*2000/120/F8</f>
        <v>2.9906959221734115</v>
      </c>
      <c r="G41" s="54"/>
      <c r="H41" s="141">
        <f>AVERAGE(E41:F41)</f>
        <v>2.4186452092285937</v>
      </c>
      <c r="I41" s="142"/>
      <c r="J41" s="54">
        <f t="shared" ref="J41:J47" si="23">_xlfn.STDEV.S(E41:F41)</f>
        <v>0.80900187661176015</v>
      </c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73"/>
      <c r="AC41" s="73"/>
      <c r="AD41" s="73"/>
      <c r="AE41" s="73"/>
      <c r="AF41" s="73"/>
      <c r="AG41" s="84"/>
      <c r="AH41" s="84"/>
      <c r="AI41" s="84"/>
      <c r="AJ41" s="73"/>
      <c r="AK41" s="73"/>
      <c r="AL41" s="73"/>
      <c r="AM41" s="84"/>
      <c r="AN41" s="84"/>
      <c r="AO41" s="73"/>
      <c r="AP41" s="73"/>
      <c r="AQ41" s="73"/>
      <c r="AR41" s="73"/>
    </row>
    <row r="42" spans="1:44" x14ac:dyDescent="0.25">
      <c r="A42" s="79"/>
      <c r="B42" s="107"/>
      <c r="C42" s="57" t="e">
        <f>R10+X10</f>
        <v>#DIV/0!</v>
      </c>
      <c r="D42" s="57" t="e">
        <f>S10+Y10</f>
        <v>#DIV/0!</v>
      </c>
      <c r="E42" s="71" t="e">
        <f>C42/$AC$4*2000/120/F10</f>
        <v>#DIV/0!</v>
      </c>
      <c r="F42" s="71" t="e">
        <f>D42/$AC$4*2000/120/F10</f>
        <v>#DIV/0!</v>
      </c>
      <c r="G42" s="54"/>
      <c r="H42" s="139" t="e">
        <f t="shared" ref="H42:H47" si="24">AVERAGE(E42:F42)</f>
        <v>#DIV/0!</v>
      </c>
      <c r="I42" s="140"/>
      <c r="J42" s="54" t="e">
        <f t="shared" si="23"/>
        <v>#DIV/0!</v>
      </c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/>
      <c r="AN42" s="73"/>
      <c r="AO42" s="73"/>
      <c r="AP42" s="73"/>
      <c r="AQ42" s="73"/>
      <c r="AR42" s="73"/>
    </row>
    <row r="43" spans="1:44" ht="15.75" thickBot="1" x14ac:dyDescent="0.3">
      <c r="A43" s="79"/>
      <c r="B43" s="107"/>
      <c r="C43" s="57" t="e">
        <f>R12+X12</f>
        <v>#DIV/0!</v>
      </c>
      <c r="D43" s="57" t="e">
        <f>S12+Y12</f>
        <v>#DIV/0!</v>
      </c>
      <c r="E43" s="71" t="e">
        <f>C43/$AC$4*2000/120/F12</f>
        <v>#DIV/0!</v>
      </c>
      <c r="F43" s="71" t="e">
        <f>D43/$AC$4*2000/120/F12</f>
        <v>#DIV/0!</v>
      </c>
      <c r="G43" s="54"/>
      <c r="H43" s="141" t="e">
        <f t="shared" si="24"/>
        <v>#DIV/0!</v>
      </c>
      <c r="I43" s="142"/>
      <c r="J43" s="54" t="e">
        <f t="shared" si="23"/>
        <v>#DIV/0!</v>
      </c>
      <c r="R43" s="54"/>
      <c r="S43" s="54"/>
      <c r="T43" s="54" t="s">
        <v>112</v>
      </c>
      <c r="U43" s="54"/>
      <c r="V43" s="54"/>
      <c r="W43" s="54" t="s">
        <v>131</v>
      </c>
      <c r="X43" s="54"/>
      <c r="Y43" s="54"/>
      <c r="Z43" s="54"/>
      <c r="AA43" s="54"/>
      <c r="AB43" s="73"/>
      <c r="AC43" s="73"/>
      <c r="AD43" s="73"/>
      <c r="AE43" s="73"/>
      <c r="AF43" s="73"/>
      <c r="AG43" s="73"/>
      <c r="AH43" s="73"/>
      <c r="AI43" s="73"/>
      <c r="AJ43" s="73"/>
      <c r="AK43" s="73"/>
      <c r="AL43" s="73"/>
      <c r="AM43" s="73"/>
      <c r="AN43" s="73"/>
      <c r="AO43" s="73"/>
      <c r="AP43" s="73"/>
      <c r="AQ43" s="73"/>
      <c r="AR43" s="73"/>
    </row>
    <row r="44" spans="1:44" x14ac:dyDescent="0.25">
      <c r="A44" s="79"/>
      <c r="B44" s="107"/>
      <c r="C44" s="57" t="e">
        <f>R14+X14</f>
        <v>#DIV/0!</v>
      </c>
      <c r="D44" s="57" t="e">
        <f>S14+Y14</f>
        <v>#DIV/0!</v>
      </c>
      <c r="E44" s="71" t="e">
        <f>C44/$AC$4*2000/120/F14</f>
        <v>#DIV/0!</v>
      </c>
      <c r="F44" s="71" t="e">
        <f>D44/$AC$4*2000/120/F14</f>
        <v>#DIV/0!</v>
      </c>
      <c r="H44" s="139" t="e">
        <f t="shared" si="24"/>
        <v>#DIV/0!</v>
      </c>
      <c r="I44" s="140"/>
      <c r="J44" s="54" t="e">
        <f t="shared" si="23"/>
        <v>#DIV/0!</v>
      </c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73"/>
      <c r="AC44" s="73"/>
      <c r="AD44" s="73"/>
      <c r="AE44" s="73"/>
      <c r="AF44" s="73"/>
      <c r="AG44" s="73"/>
      <c r="AH44" s="73"/>
      <c r="AI44" s="73"/>
      <c r="AJ44" s="73"/>
      <c r="AK44" s="73"/>
      <c r="AL44" s="73"/>
      <c r="AM44" s="73"/>
      <c r="AN44" s="73"/>
      <c r="AO44" s="73"/>
      <c r="AP44" s="73"/>
      <c r="AQ44" s="73"/>
      <c r="AR44" s="73"/>
    </row>
    <row r="45" spans="1:44" ht="15.75" thickBot="1" x14ac:dyDescent="0.3">
      <c r="A45" s="79"/>
      <c r="B45" s="107"/>
      <c r="C45" s="57" t="e">
        <f>R16+X16</f>
        <v>#DIV/0!</v>
      </c>
      <c r="D45" s="57" t="e">
        <f>S16+Y16</f>
        <v>#DIV/0!</v>
      </c>
      <c r="E45" s="71" t="e">
        <f>C45/$AC$4*2000/120/F16</f>
        <v>#DIV/0!</v>
      </c>
      <c r="F45" s="71" t="e">
        <f>D45/$AC$4*2000/120/F16</f>
        <v>#DIV/0!</v>
      </c>
      <c r="H45" s="141" t="e">
        <f t="shared" si="24"/>
        <v>#DIV/0!</v>
      </c>
      <c r="I45" s="142"/>
      <c r="J45" s="54" t="e">
        <f t="shared" si="23"/>
        <v>#DIV/0!</v>
      </c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73"/>
      <c r="AC45" s="73"/>
      <c r="AD45" s="73"/>
      <c r="AE45" s="73"/>
      <c r="AF45" s="73"/>
      <c r="AG45" s="73"/>
      <c r="AH45" s="73"/>
      <c r="AI45" s="73"/>
      <c r="AJ45" s="73"/>
      <c r="AK45" s="73"/>
      <c r="AL45" s="73"/>
      <c r="AM45" s="73"/>
      <c r="AN45" s="73"/>
      <c r="AO45" s="73"/>
      <c r="AP45" s="73"/>
      <c r="AQ45" s="73"/>
      <c r="AR45" s="73"/>
    </row>
    <row r="46" spans="1:44" x14ac:dyDescent="0.25">
      <c r="A46" s="79"/>
      <c r="C46" s="57" t="e">
        <f>R18+X18</f>
        <v>#DIV/0!</v>
      </c>
      <c r="D46" s="57" t="e">
        <f t="shared" ref="D46" si="25">S12+Y12</f>
        <v>#DIV/0!</v>
      </c>
      <c r="E46" s="71" t="e">
        <f>C46/$AC$4*2000/120/F18</f>
        <v>#DIV/0!</v>
      </c>
      <c r="F46" s="71" t="e">
        <f>D46/$AC$4*2000/120/F18</f>
        <v>#DIV/0!</v>
      </c>
      <c r="H46" s="153" t="e">
        <f t="shared" si="24"/>
        <v>#DIV/0!</v>
      </c>
      <c r="I46" s="154"/>
      <c r="J46" s="54" t="e">
        <f t="shared" si="23"/>
        <v>#DIV/0!</v>
      </c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</row>
    <row r="47" spans="1:44" ht="15.75" thickBot="1" x14ac:dyDescent="0.3">
      <c r="A47" s="79"/>
      <c r="C47" s="57" t="e">
        <f t="shared" ref="C47" si="26">R14+X14</f>
        <v>#DIV/0!</v>
      </c>
      <c r="D47" s="57" t="e">
        <f>S18+Y18</f>
        <v>#DIV/0!</v>
      </c>
      <c r="E47" s="71" t="e">
        <f>C47/$AC$4*2000/120/F20</f>
        <v>#DIV/0!</v>
      </c>
      <c r="F47" s="71" t="e">
        <f>D47/$AC$4*2000/120/F20</f>
        <v>#DIV/0!</v>
      </c>
      <c r="H47" s="155" t="e">
        <f t="shared" si="24"/>
        <v>#DIV/0!</v>
      </c>
      <c r="I47" s="156"/>
      <c r="J47" s="54" t="e">
        <f t="shared" si="23"/>
        <v>#DIV/0!</v>
      </c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3"/>
      <c r="AQ47" s="73"/>
      <c r="AR47" s="73"/>
    </row>
    <row r="48" spans="1:44" x14ac:dyDescent="0.25">
      <c r="A48" s="79"/>
      <c r="B48" s="107"/>
      <c r="C48" s="57"/>
      <c r="D48" s="57"/>
      <c r="E48" s="71"/>
      <c r="F48" s="71"/>
      <c r="H48" s="118"/>
      <c r="I48" s="118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3"/>
      <c r="AQ48" s="73"/>
      <c r="AR48" s="73"/>
    </row>
    <row r="49" spans="1:44" x14ac:dyDescent="0.25">
      <c r="A49" s="79"/>
      <c r="B49" s="107"/>
      <c r="C49" s="57"/>
      <c r="D49" s="57"/>
      <c r="E49" s="71"/>
      <c r="F49" s="71"/>
      <c r="H49" s="118"/>
      <c r="I49" s="118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73"/>
      <c r="AC49" s="73"/>
      <c r="AD49" s="73"/>
      <c r="AE49" s="73"/>
      <c r="AF49" s="73"/>
      <c r="AG49" s="73"/>
      <c r="AH49" s="73"/>
      <c r="AI49" s="73"/>
      <c r="AJ49" s="73"/>
      <c r="AK49" s="73"/>
      <c r="AL49" s="73"/>
      <c r="AM49" s="73"/>
      <c r="AN49" s="73"/>
      <c r="AO49" s="73"/>
      <c r="AP49" s="73"/>
      <c r="AQ49" s="73"/>
      <c r="AR49" s="73"/>
    </row>
    <row r="50" spans="1:44" x14ac:dyDescent="0.25">
      <c r="A50" s="79"/>
      <c r="B50" s="107"/>
      <c r="C50" s="57"/>
      <c r="D50" s="57"/>
      <c r="E50" s="71"/>
      <c r="F50" s="71"/>
      <c r="H50" s="118"/>
      <c r="I50" s="118"/>
      <c r="J50" s="55"/>
      <c r="K50" s="55"/>
      <c r="L50" s="55"/>
      <c r="M50" s="55"/>
      <c r="N50" s="55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/>
      <c r="AN50" s="73"/>
      <c r="AO50" s="73"/>
      <c r="AP50" s="73"/>
      <c r="AQ50" s="73"/>
      <c r="AR50" s="73"/>
    </row>
    <row r="51" spans="1:44" x14ac:dyDescent="0.25">
      <c r="A51" s="79"/>
      <c r="B51" s="107"/>
      <c r="C51" s="57"/>
      <c r="D51" s="57"/>
      <c r="E51" s="71"/>
      <c r="F51" s="71"/>
      <c r="H51" s="85"/>
      <c r="I51" s="85"/>
      <c r="J51" s="55"/>
      <c r="K51" s="55"/>
      <c r="L51" s="55"/>
      <c r="M51" s="55"/>
      <c r="N51" s="55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</row>
    <row r="52" spans="1:44" x14ac:dyDescent="0.25">
      <c r="A52" s="79"/>
      <c r="B52" s="107"/>
      <c r="C52" s="57"/>
      <c r="D52" s="57"/>
      <c r="E52" s="71"/>
      <c r="F52" s="71"/>
      <c r="H52" s="85"/>
      <c r="I52" s="85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</row>
    <row r="53" spans="1:44" x14ac:dyDescent="0.25">
      <c r="A53" s="79"/>
      <c r="B53" s="107"/>
      <c r="C53" s="57"/>
      <c r="D53" s="57"/>
      <c r="E53" s="71"/>
      <c r="F53" s="71"/>
      <c r="H53" s="85"/>
      <c r="I53" s="85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</row>
    <row r="54" spans="1:44" x14ac:dyDescent="0.25">
      <c r="A54" s="79"/>
      <c r="B54" s="107"/>
      <c r="C54" s="57"/>
      <c r="D54" s="57"/>
      <c r="E54" s="71"/>
      <c r="F54" s="71"/>
      <c r="G54" s="55"/>
      <c r="H54" s="55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</row>
    <row r="55" spans="1:44" x14ac:dyDescent="0.25">
      <c r="A55" s="79"/>
      <c r="B55" s="107"/>
      <c r="C55" s="57"/>
      <c r="D55" s="57"/>
      <c r="E55" s="71"/>
      <c r="F55" s="71"/>
      <c r="G55" s="55"/>
      <c r="H55" s="8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</row>
    <row r="56" spans="1:44" x14ac:dyDescent="0.25">
      <c r="A56" s="79"/>
      <c r="B56" s="79"/>
      <c r="C56" s="55"/>
      <c r="D56" s="80"/>
      <c r="E56" s="55"/>
      <c r="F56" s="55"/>
      <c r="G56" s="55"/>
      <c r="H56" s="55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</row>
    <row r="57" spans="1:44" x14ac:dyDescent="0.25">
      <c r="A57" s="79"/>
      <c r="B57" s="79"/>
      <c r="C57" s="55"/>
      <c r="D57" s="80"/>
      <c r="E57" s="55"/>
      <c r="F57" s="55"/>
      <c r="G57" s="55"/>
      <c r="H57" s="8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</row>
    <row r="58" spans="1:44" x14ac:dyDescent="0.25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</row>
    <row r="59" spans="1:44" x14ac:dyDescent="0.25">
      <c r="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</row>
    <row r="60" spans="1:44" x14ac:dyDescent="0.25">
      <c r="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</row>
    <row r="61" spans="1:44" x14ac:dyDescent="0.25">
      <c r="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</row>
    <row r="62" spans="1:44" x14ac:dyDescent="0.25">
      <c r="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</row>
    <row r="63" spans="1:44" x14ac:dyDescent="0.25">
      <c r="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</row>
    <row r="64" spans="1:44" x14ac:dyDescent="0.25">
      <c r="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</row>
    <row r="65" spans="1:44" x14ac:dyDescent="0.25">
      <c r="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</row>
    <row r="66" spans="1:44" x14ac:dyDescent="0.25">
      <c r="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</row>
    <row r="67" spans="1:44" x14ac:dyDescent="0.25">
      <c r="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</row>
    <row r="68" spans="1:44" x14ac:dyDescent="0.25">
      <c r="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</row>
    <row r="69" spans="1:44" x14ac:dyDescent="0.25">
      <c r="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</row>
    <row r="70" spans="1:44" x14ac:dyDescent="0.25">
      <c r="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</row>
    <row r="71" spans="1:44" x14ac:dyDescent="0.25">
      <c r="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</row>
    <row r="72" spans="1:44" x14ac:dyDescent="0.25">
      <c r="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</row>
    <row r="73" spans="1:44" x14ac:dyDescent="0.25">
      <c r="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</row>
    <row r="74" spans="1:44" x14ac:dyDescent="0.25">
      <c r="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</row>
    <row r="75" spans="1:44" x14ac:dyDescent="0.25">
      <c r="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</row>
    <row r="76" spans="1:44" x14ac:dyDescent="0.25">
      <c r="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</row>
    <row r="77" spans="1:44" x14ac:dyDescent="0.25">
      <c r="A77" s="54"/>
      <c r="C77" s="59"/>
      <c r="D77" s="59"/>
      <c r="E77" s="74"/>
      <c r="F77" s="74"/>
      <c r="H77" s="133"/>
      <c r="I77" s="133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</row>
    <row r="78" spans="1:44" x14ac:dyDescent="0.25">
      <c r="A78" s="54"/>
      <c r="C78" s="59"/>
      <c r="D78" s="59"/>
      <c r="E78" s="74"/>
      <c r="F78" s="74"/>
      <c r="H78" s="133"/>
      <c r="I78" s="133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</row>
    <row r="79" spans="1:44" x14ac:dyDescent="0.25">
      <c r="A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4"/>
      <c r="AQ79" s="54"/>
      <c r="AR79" s="54"/>
    </row>
    <row r="80" spans="1:44" x14ac:dyDescent="0.25">
      <c r="A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4"/>
      <c r="AQ80" s="54"/>
      <c r="AR80" s="54"/>
    </row>
  </sheetData>
  <mergeCells count="52">
    <mergeCell ref="A2:B2"/>
    <mergeCell ref="E2:G2"/>
    <mergeCell ref="B4:B5"/>
    <mergeCell ref="C4:C5"/>
    <mergeCell ref="A6:A7"/>
    <mergeCell ref="B6:B7"/>
    <mergeCell ref="C6:C7"/>
    <mergeCell ref="D6:D7"/>
    <mergeCell ref="F6:F7"/>
    <mergeCell ref="A14:A15"/>
    <mergeCell ref="B14:B15"/>
    <mergeCell ref="C14:C15"/>
    <mergeCell ref="F14:F15"/>
    <mergeCell ref="A8:A9"/>
    <mergeCell ref="B8:B9"/>
    <mergeCell ref="C8:C9"/>
    <mergeCell ref="D8:D9"/>
    <mergeCell ref="F8:F9"/>
    <mergeCell ref="A10:A11"/>
    <mergeCell ref="B10:B11"/>
    <mergeCell ref="C10:C11"/>
    <mergeCell ref="D10:D11"/>
    <mergeCell ref="F10:F11"/>
    <mergeCell ref="A12:A13"/>
    <mergeCell ref="B12:B13"/>
    <mergeCell ref="C12:C13"/>
    <mergeCell ref="D12:D13"/>
    <mergeCell ref="F12:F13"/>
    <mergeCell ref="T39:V39"/>
    <mergeCell ref="A16:A17"/>
    <mergeCell ref="B16:B17"/>
    <mergeCell ref="C16:C17"/>
    <mergeCell ref="F16:F17"/>
    <mergeCell ref="A18:A19"/>
    <mergeCell ref="B18:B19"/>
    <mergeCell ref="C18:C19"/>
    <mergeCell ref="F18:F19"/>
    <mergeCell ref="A20:A21"/>
    <mergeCell ref="B20:B21"/>
    <mergeCell ref="C20:C21"/>
    <mergeCell ref="F20:F21"/>
    <mergeCell ref="H38:I38"/>
    <mergeCell ref="H46:I46"/>
    <mergeCell ref="H47:I47"/>
    <mergeCell ref="H77:I77"/>
    <mergeCell ref="H78:I78"/>
    <mergeCell ref="H40:I40"/>
    <mergeCell ref="H41:I41"/>
    <mergeCell ref="H42:I42"/>
    <mergeCell ref="H43:I43"/>
    <mergeCell ref="H44:I44"/>
    <mergeCell ref="H45:I45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Protocol</vt:lpstr>
      <vt:lpstr>Mix calculations</vt:lpstr>
      <vt:lpstr>Protein concentration</vt:lpstr>
      <vt:lpstr>Conversion Deio2</vt:lpstr>
      <vt:lpstr>Analysis D2</vt:lpstr>
      <vt:lpstr>Conversion Deio3</vt:lpstr>
      <vt:lpstr>Analysis D3</vt:lpstr>
    </vt:vector>
  </TitlesOfParts>
  <Company>Erasmus 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 Lopez Marti</dc:creator>
  <cp:lastModifiedBy>N.T.O.M. Dierichs</cp:lastModifiedBy>
  <cp:lastPrinted>2023-05-03T08:56:05Z</cp:lastPrinted>
  <dcterms:created xsi:type="dcterms:W3CDTF">2019-03-26T15:43:47Z</dcterms:created>
  <dcterms:modified xsi:type="dcterms:W3CDTF">2024-04-25T10:58:59Z</dcterms:modified>
</cp:coreProperties>
</file>