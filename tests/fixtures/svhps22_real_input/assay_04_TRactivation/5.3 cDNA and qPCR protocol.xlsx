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athalie\Protocols\"/>
    </mc:Choice>
  </mc:AlternateContent>
  <bookViews>
    <workbookView xWindow="0" yWindow="0" windowWidth="28800" windowHeight="12300" activeTab="1"/>
  </bookViews>
  <sheets>
    <sheet name="cDNA PCR protocol " sheetId="3" r:id="rId1"/>
    <sheet name="Data analysis" sheetId="6" r:id="rId2"/>
    <sheet name="cDNA" sheetId="1" r:id="rId3"/>
    <sheet name="PCR" sheetId="2" r:id="rId4"/>
    <sheet name="Sheet2" sheetId="5" r:id="rId5"/>
  </sheets>
  <externalReferences>
    <externalReference r:id="rId6"/>
    <externalReference r:id="rId7"/>
  </externalReferences>
  <calcPr calcId="162913"/>
</workbook>
</file>

<file path=xl/calcChain.xml><?xml version="1.0" encoding="utf-8"?>
<calcChain xmlns="http://schemas.openxmlformats.org/spreadsheetml/2006/main">
  <c r="J68" i="6" l="1"/>
  <c r="I68" i="6"/>
  <c r="H68" i="6"/>
  <c r="J67" i="6"/>
  <c r="I67" i="6"/>
  <c r="H67" i="6"/>
  <c r="J66" i="6"/>
  <c r="I66" i="6"/>
  <c r="H66" i="6"/>
  <c r="O65" i="6"/>
  <c r="J65" i="6"/>
  <c r="I65" i="6"/>
  <c r="N65" i="6" s="1"/>
  <c r="H65" i="6"/>
  <c r="M65" i="6" s="1"/>
  <c r="J64" i="6"/>
  <c r="I64" i="6"/>
  <c r="H64" i="6"/>
  <c r="M61" i="6" s="1"/>
  <c r="J63" i="6"/>
  <c r="I63" i="6"/>
  <c r="H63" i="6"/>
  <c r="J62" i="6"/>
  <c r="I62" i="6"/>
  <c r="H62" i="6"/>
  <c r="N61" i="6"/>
  <c r="J61" i="6"/>
  <c r="O61" i="6" s="1"/>
  <c r="I61" i="6"/>
  <c r="H61" i="6"/>
  <c r="J60" i="6"/>
  <c r="I60" i="6"/>
  <c r="H60" i="6"/>
  <c r="J59" i="6"/>
  <c r="I59" i="6"/>
  <c r="H59" i="6"/>
  <c r="J58" i="6"/>
  <c r="I58" i="6"/>
  <c r="H58" i="6"/>
  <c r="O57" i="6"/>
  <c r="J57" i="6"/>
  <c r="I57" i="6"/>
  <c r="N57" i="6" s="1"/>
  <c r="H57" i="6"/>
  <c r="M57" i="6" s="1"/>
  <c r="J56" i="6"/>
  <c r="I56" i="6"/>
  <c r="H56" i="6"/>
  <c r="J55" i="6"/>
  <c r="I55" i="6"/>
  <c r="H55" i="6"/>
  <c r="J54" i="6"/>
  <c r="I54" i="6"/>
  <c r="H54" i="6"/>
  <c r="N53" i="6"/>
  <c r="M53" i="6"/>
  <c r="J53" i="6"/>
  <c r="O53" i="6" s="1"/>
  <c r="I53" i="6"/>
  <c r="H53" i="6"/>
  <c r="J44" i="6"/>
  <c r="I44" i="6"/>
  <c r="H44" i="6"/>
  <c r="J43" i="6"/>
  <c r="I43" i="6"/>
  <c r="H43" i="6"/>
  <c r="J42" i="6"/>
  <c r="H42" i="6"/>
  <c r="J41" i="6"/>
  <c r="O41" i="6" s="1"/>
  <c r="T51" i="6" s="1"/>
  <c r="I41" i="6"/>
  <c r="N41" i="6" s="1"/>
  <c r="H41" i="6"/>
  <c r="M41" i="6" s="1"/>
  <c r="J40" i="6"/>
  <c r="I40" i="6"/>
  <c r="H40" i="6"/>
  <c r="J39" i="6"/>
  <c r="O37" i="6" s="1"/>
  <c r="T49" i="6" s="1"/>
  <c r="I39" i="6"/>
  <c r="H39" i="6"/>
  <c r="J38" i="6"/>
  <c r="I38" i="6"/>
  <c r="H38" i="6"/>
  <c r="N37" i="6"/>
  <c r="S49" i="6" s="1"/>
  <c r="M37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O33" i="6" s="1"/>
  <c r="T47" i="6" s="1"/>
  <c r="I33" i="6"/>
  <c r="N33" i="6" s="1"/>
  <c r="H33" i="6"/>
  <c r="M33" i="6" s="1"/>
  <c r="R47" i="6" s="1"/>
  <c r="J32" i="6"/>
  <c r="I32" i="6"/>
  <c r="H32" i="6"/>
  <c r="J31" i="6"/>
  <c r="I31" i="6"/>
  <c r="H31" i="6"/>
  <c r="M29" i="6" s="1"/>
  <c r="R45" i="6" s="1"/>
  <c r="J30" i="6"/>
  <c r="I30" i="6"/>
  <c r="H30" i="6"/>
  <c r="O29" i="6"/>
  <c r="T45" i="6" s="1"/>
  <c r="N29" i="6"/>
  <c r="S45" i="6" s="1"/>
  <c r="J29" i="6"/>
  <c r="I29" i="6"/>
  <c r="H29" i="6"/>
  <c r="S47" i="6" l="1"/>
  <c r="W49" i="6"/>
  <c r="Z49" i="6" s="1"/>
  <c r="Z57" i="6" s="1"/>
  <c r="R51" i="6"/>
  <c r="R49" i="6"/>
  <c r="S51" i="6"/>
  <c r="AA50" i="6" s="1"/>
  <c r="AA58" i="6" s="1"/>
  <c r="I115" i="3"/>
  <c r="I117" i="3"/>
  <c r="I118" i="3"/>
  <c r="I119" i="3"/>
  <c r="I126" i="3"/>
  <c r="I127" i="3"/>
  <c r="I128" i="3"/>
  <c r="I124" i="3"/>
  <c r="H40" i="3"/>
  <c r="Z64" i="6" l="1"/>
  <c r="AB50" i="6"/>
  <c r="AB58" i="6" s="1"/>
  <c r="Z50" i="6"/>
  <c r="Z58" i="6" s="1"/>
  <c r="AB49" i="6"/>
  <c r="AB57" i="6" s="1"/>
  <c r="AA49" i="6"/>
  <c r="AA57" i="6" s="1"/>
  <c r="AA64" i="6" s="1"/>
  <c r="W48" i="6"/>
  <c r="H70" i="3"/>
  <c r="E70" i="3"/>
  <c r="G69" i="3"/>
  <c r="Z47" i="6" l="1"/>
  <c r="Z55" i="6" s="1"/>
  <c r="AA47" i="6"/>
  <c r="AA55" i="6" s="1"/>
  <c r="AA48" i="6"/>
  <c r="AA56" i="6" s="1"/>
  <c r="AB47" i="6"/>
  <c r="AB55" i="6" s="1"/>
  <c r="AB63" i="6" s="1"/>
  <c r="AB48" i="6"/>
  <c r="AB56" i="6" s="1"/>
  <c r="AB64" i="6"/>
  <c r="Z48" i="6"/>
  <c r="Z56" i="6" s="1"/>
  <c r="W24" i="5"/>
  <c r="W23" i="5"/>
  <c r="H51" i="3"/>
  <c r="H52" i="3"/>
  <c r="H53" i="3"/>
  <c r="H54" i="3"/>
  <c r="H55" i="3"/>
  <c r="H50" i="3"/>
  <c r="H42" i="3"/>
  <c r="H43" i="3"/>
  <c r="H44" i="3"/>
  <c r="H45" i="3"/>
  <c r="H46" i="3"/>
  <c r="H41" i="3"/>
  <c r="H49" i="3"/>
  <c r="E55" i="3"/>
  <c r="E46" i="3"/>
  <c r="G30" i="3"/>
  <c r="E30" i="3"/>
  <c r="G12" i="3"/>
  <c r="G13" i="3"/>
  <c r="G14" i="3"/>
  <c r="K14" i="3" s="1"/>
  <c r="G15" i="3"/>
  <c r="K15" i="3" s="1"/>
  <c r="G16" i="3"/>
  <c r="G17" i="3"/>
  <c r="K17" i="3" s="1"/>
  <c r="G18" i="3"/>
  <c r="K18" i="3" s="1"/>
  <c r="G19" i="3"/>
  <c r="K19" i="3" s="1"/>
  <c r="G20" i="3"/>
  <c r="K20" i="3" s="1"/>
  <c r="G21" i="3"/>
  <c r="K21" i="3" s="1"/>
  <c r="G22" i="3"/>
  <c r="G23" i="3"/>
  <c r="K23" i="3" s="1"/>
  <c r="G24" i="3"/>
  <c r="K24" i="3" s="1"/>
  <c r="G25" i="3"/>
  <c r="K25" i="3" s="1"/>
  <c r="G26" i="3"/>
  <c r="K26" i="3" s="1"/>
  <c r="G27" i="3"/>
  <c r="K27" i="3" s="1"/>
  <c r="G11" i="3"/>
  <c r="J11" i="1"/>
  <c r="K12" i="3"/>
  <c r="K13" i="3"/>
  <c r="K16" i="3"/>
  <c r="K22" i="3"/>
  <c r="K11" i="3"/>
  <c r="H23" i="2"/>
  <c r="H24" i="2"/>
  <c r="H25" i="2"/>
  <c r="H26" i="2"/>
  <c r="H27" i="2"/>
  <c r="H33" i="2"/>
  <c r="H34" i="2"/>
  <c r="H35" i="2"/>
  <c r="H36" i="2"/>
  <c r="H32" i="2"/>
  <c r="AA63" i="6" l="1"/>
  <c r="Z63" i="6"/>
  <c r="I30" i="3"/>
  <c r="F106" i="1"/>
  <c r="E20" i="1"/>
  <c r="F20" i="1" s="1"/>
  <c r="J20" i="1" s="1"/>
  <c r="E21" i="1"/>
  <c r="F21" i="1" s="1"/>
  <c r="J21" i="1" s="1"/>
  <c r="E22" i="1"/>
  <c r="F22" i="1" s="1"/>
  <c r="J22" i="1" s="1"/>
  <c r="E23" i="1"/>
  <c r="F23" i="1" s="1"/>
  <c r="J23" i="1" s="1"/>
  <c r="E24" i="1"/>
  <c r="F24" i="1" s="1"/>
  <c r="J24" i="1" s="1"/>
  <c r="E19" i="1" l="1"/>
  <c r="F19" i="1" s="1"/>
  <c r="J19" i="1" s="1"/>
  <c r="E18" i="1"/>
  <c r="F18" i="1" s="1"/>
  <c r="J18" i="1" s="1"/>
  <c r="E17" i="1"/>
  <c r="F17" i="1" s="1"/>
  <c r="J17" i="1" s="1"/>
  <c r="E16" i="1"/>
  <c r="F16" i="1" s="1"/>
  <c r="J16" i="1" s="1"/>
  <c r="E15" i="1"/>
  <c r="F15" i="1" s="1"/>
  <c r="J15" i="1" s="1"/>
  <c r="C91" i="1" l="1"/>
  <c r="C92" i="1" s="1"/>
  <c r="C93" i="1" s="1"/>
  <c r="C94" i="1" s="1"/>
  <c r="C95" i="1" s="1"/>
  <c r="F45" i="1"/>
  <c r="F46" i="1"/>
  <c r="D107" i="1" l="1"/>
  <c r="D109" i="1" s="1"/>
  <c r="D102" i="1" l="1"/>
  <c r="E10" i="1" l="1"/>
  <c r="F10" i="1" s="1"/>
  <c r="J10" i="1" s="1"/>
  <c r="E11" i="1"/>
  <c r="F11" i="1" s="1"/>
  <c r="E12" i="1"/>
  <c r="F12" i="1" s="1"/>
  <c r="J12" i="1" s="1"/>
  <c r="E13" i="1"/>
  <c r="F13" i="1" s="1"/>
  <c r="J13" i="1" s="1"/>
  <c r="E14" i="1"/>
  <c r="F14" i="1" s="1"/>
  <c r="J14" i="1" s="1"/>
  <c r="E9" i="1" l="1"/>
  <c r="F9" i="1" s="1"/>
  <c r="J9" i="1" s="1"/>
  <c r="C62" i="1" l="1"/>
  <c r="C51" i="1" l="1"/>
  <c r="F60" i="1"/>
  <c r="F59" i="1"/>
  <c r="F58" i="1"/>
  <c r="F57" i="1"/>
  <c r="F56" i="1"/>
  <c r="F49" i="1"/>
  <c r="F48" i="1"/>
  <c r="F47" i="1"/>
  <c r="F62" i="1" l="1"/>
  <c r="F51" i="1"/>
</calcChain>
</file>

<file path=xl/sharedStrings.xml><?xml version="1.0" encoding="utf-8"?>
<sst xmlns="http://schemas.openxmlformats.org/spreadsheetml/2006/main" count="845" uniqueCount="400">
  <si>
    <t>TITLE</t>
  </si>
  <si>
    <t>Reverse Transcriptase</t>
  </si>
  <si>
    <t>Transcriptor High Fidelity cDNA synthesis kit, Cat.no. 05081955001</t>
  </si>
  <si>
    <t>RNA</t>
  </si>
  <si>
    <t>Average</t>
  </si>
  <si>
    <t>(ng/uL)</t>
  </si>
  <si>
    <t>(uL RNA)</t>
  </si>
  <si>
    <t>(uLOligoDT)</t>
  </si>
  <si>
    <t>(uL Random Hexamer)</t>
  </si>
  <si>
    <t>(uLTotal)</t>
  </si>
  <si>
    <t>Step 1. Denaturation of RNA secondairy structures</t>
  </si>
  <si>
    <t>10 minutes 65'C</t>
  </si>
  <si>
    <t>and after that on ice</t>
  </si>
  <si>
    <t>N=1</t>
  </si>
  <si>
    <t>N=</t>
  </si>
  <si>
    <t>RT buffer 5x</t>
  </si>
  <si>
    <t>uL</t>
  </si>
  <si>
    <t>dNTP 10mM</t>
  </si>
  <si>
    <t>RNAse inhibitor</t>
  </si>
  <si>
    <t>Reverse transcriptase</t>
  </si>
  <si>
    <t>DTT</t>
  </si>
  <si>
    <t>Total</t>
  </si>
  <si>
    <t>RT- mix</t>
  </si>
  <si>
    <t>H2O</t>
  </si>
  <si>
    <t>Amount of RT-Mix/well</t>
  </si>
  <si>
    <t>ul/well</t>
  </si>
  <si>
    <t>30 minutes 45'C</t>
  </si>
  <si>
    <t>5 minutes 85'C</t>
  </si>
  <si>
    <t>Reverse Transcriptase cDNA plate overview</t>
  </si>
  <si>
    <t>A</t>
  </si>
  <si>
    <t>B</t>
  </si>
  <si>
    <t>C</t>
  </si>
  <si>
    <t>D</t>
  </si>
  <si>
    <t>E</t>
  </si>
  <si>
    <t>F</t>
  </si>
  <si>
    <t>G</t>
  </si>
  <si>
    <t>H</t>
  </si>
  <si>
    <t>End volume</t>
  </si>
  <si>
    <t xml:space="preserve">Step 2. Reverse transcriptase Total RNA </t>
  </si>
  <si>
    <t>ALWAYS ADD minus RT as negative control</t>
  </si>
  <si>
    <t>In vriezer waar luciferase staat!</t>
  </si>
  <si>
    <t>Standaard curve</t>
  </si>
  <si>
    <t>Standaard reeks:</t>
  </si>
  <si>
    <t>Gebruik 2,5 ul in PCR (25 ng)</t>
  </si>
  <si>
    <t>-RT</t>
  </si>
  <si>
    <t>(uL DEPC H20)</t>
  </si>
  <si>
    <t>DNAse I</t>
  </si>
  <si>
    <t>10x DNAse I</t>
  </si>
  <si>
    <t>DNA treatment</t>
  </si>
  <si>
    <t>25 mM EDTA</t>
  </si>
  <si>
    <t>ng/ul</t>
  </si>
  <si>
    <t xml:space="preserve">Concentratie is nu </t>
  </si>
  <si>
    <t>Vul aan met H2O</t>
  </si>
  <si>
    <t>ul tot</t>
  </si>
  <si>
    <t>ul</t>
  </si>
  <si>
    <t>Eindvolume</t>
  </si>
  <si>
    <t>concentratie van</t>
  </si>
  <si>
    <t>ng/nl</t>
  </si>
  <si>
    <t xml:space="preserve">Genoeg voor </t>
  </si>
  <si>
    <t>+RT</t>
  </si>
  <si>
    <t>PCRs</t>
  </si>
  <si>
    <t>Rest van de samples</t>
  </si>
  <si>
    <t>ul , voeg H2O toe</t>
  </si>
  <si>
    <t>Neem</t>
  </si>
  <si>
    <t>Gebruik 2,5 ul in PCR (10 ng)</t>
  </si>
  <si>
    <t>RT + mix</t>
  </si>
  <si>
    <t>ng</t>
  </si>
  <si>
    <t>I</t>
  </si>
  <si>
    <t>J</t>
  </si>
  <si>
    <t>K</t>
  </si>
  <si>
    <t>L</t>
  </si>
  <si>
    <t>M</t>
  </si>
  <si>
    <t>Purified DATE using Trizol</t>
  </si>
  <si>
    <t>DATE</t>
  </si>
  <si>
    <t xml:space="preserve">1100 ng Total RNA table </t>
  </si>
  <si>
    <t>Pipette RNA and water together</t>
  </si>
  <si>
    <t>Incubate at RT for 15 minutes</t>
  </si>
  <si>
    <t>Incubate 15' at 65 C</t>
  </si>
  <si>
    <t>Put one ice</t>
  </si>
  <si>
    <t>Proceed according to step 1</t>
  </si>
  <si>
    <t>Add 2,2 ul 25 mM EDTA per samples</t>
  </si>
  <si>
    <t>ASO behandeling F23-1</t>
  </si>
  <si>
    <t>Use 11,4 ul in cDNA synthesis reaction in 96 wells plate (see below)</t>
  </si>
  <si>
    <t>ASO 20 nM</t>
  </si>
  <si>
    <t>Neg 20 nM</t>
  </si>
  <si>
    <t>Neem van elk sample 8 ul en pool</t>
  </si>
  <si>
    <t>Gebruik 37 ul voor een serie van 1:1 verdunningen, gebruik 2,5 ul in qPCR</t>
  </si>
  <si>
    <t>N</t>
  </si>
  <si>
    <t>O</t>
  </si>
  <si>
    <t>P</t>
  </si>
  <si>
    <t>ASO 50 nM</t>
  </si>
  <si>
    <t>1000 ng</t>
  </si>
  <si>
    <t>13,6 gene lijntje</t>
  </si>
  <si>
    <t>56,4</t>
  </si>
  <si>
    <t>niet in duplo is 27</t>
  </si>
  <si>
    <t>in duplo 13,68 genen</t>
  </si>
  <si>
    <t>ASO 100 nM</t>
  </si>
  <si>
    <t>ASO 250 nM</t>
  </si>
  <si>
    <t>Neg 250 nM</t>
  </si>
  <si>
    <t>107.1 nc D1</t>
  </si>
  <si>
    <t>107.1 nc D2</t>
  </si>
  <si>
    <t>107.1 T3 D1</t>
  </si>
  <si>
    <t>107.1 T3 D2</t>
  </si>
  <si>
    <t>107.1 TRC D1</t>
  </si>
  <si>
    <t>107.1 TRC D2</t>
  </si>
  <si>
    <t>107.1 a12.5</t>
  </si>
  <si>
    <t>107.1 a25</t>
  </si>
  <si>
    <t>63.1 nc D1</t>
  </si>
  <si>
    <t>63.1 nc D2</t>
  </si>
  <si>
    <t>63.1 t3 D1</t>
  </si>
  <si>
    <t>63.1 t3 D2</t>
  </si>
  <si>
    <t>63.1 trc D1</t>
  </si>
  <si>
    <t>63.1 trc D2</t>
  </si>
  <si>
    <t>63.1 a12.5</t>
  </si>
  <si>
    <t>63.1 a25</t>
  </si>
  <si>
    <t>Add DNAse buffer and DNAse: make a mix of 39.6 ul DNAse buffer and 19.8 ul DNAse, add 3,3 ul per sample</t>
  </si>
  <si>
    <t>Add oligo dT and random hexa primers: make a mix of 39.6 ul random hexa and 19.8 ul oligo dT, add 3,3 ul per sample</t>
  </si>
  <si>
    <t xml:space="preserve"> </t>
  </si>
  <si>
    <t>Totaal 128 ul van</t>
  </si>
  <si>
    <t>16ng</t>
  </si>
  <si>
    <t>8ng</t>
  </si>
  <si>
    <t>4ng</t>
  </si>
  <si>
    <t>2ng</t>
  </si>
  <si>
    <t>1ng</t>
  </si>
  <si>
    <t>0,5ng</t>
  </si>
  <si>
    <t>h20</t>
  </si>
  <si>
    <t>IJklijn</t>
  </si>
  <si>
    <t>gepoolde RT-</t>
  </si>
  <si>
    <t>rt-</t>
  </si>
  <si>
    <t>RT+ 107.1</t>
  </si>
  <si>
    <t>RT+ 63.1</t>
  </si>
  <si>
    <t>ASO 12,5</t>
  </si>
  <si>
    <t>NC D1</t>
  </si>
  <si>
    <t>NC D2</t>
  </si>
  <si>
    <t>T3 D1</t>
  </si>
  <si>
    <t>T3 D2</t>
  </si>
  <si>
    <t>triac D1</t>
  </si>
  <si>
    <t>triac D2</t>
  </si>
  <si>
    <t>ASO 25</t>
  </si>
  <si>
    <t>KLF 9</t>
  </si>
  <si>
    <t>GAPDH</t>
  </si>
  <si>
    <t>UMM (2X)</t>
  </si>
  <si>
    <t>cDNA</t>
  </si>
  <si>
    <t>P/P mix (20X)</t>
  </si>
  <si>
    <t>KLF9</t>
  </si>
  <si>
    <t>n=50*1,1</t>
  </si>
  <si>
    <t>nr.</t>
  </si>
  <si>
    <t>RNA --&gt; cDNA --&gt; qPCR protocol</t>
  </si>
  <si>
    <t>Doel: reverse transcriptase uitvoeren op mRNA voor cDNA en vervolgens dit cDNA te gebruiken voor qPCR</t>
  </si>
  <si>
    <t>benodigd:</t>
  </si>
  <si>
    <t xml:space="preserve">Aantal Samples: </t>
  </si>
  <si>
    <t>naam sample</t>
  </si>
  <si>
    <t>Concentratie RNA</t>
  </si>
  <si>
    <t>Sample</t>
  </si>
  <si>
    <t>Primers</t>
  </si>
  <si>
    <t>VOL</t>
  </si>
  <si>
    <t>(uL Total)</t>
  </si>
  <si>
    <t>(uL DNAse I)</t>
  </si>
  <si>
    <t>(uL 25 mM EDTA)</t>
  </si>
  <si>
    <t>(uL OligoDT)</t>
  </si>
  <si>
    <t>vereiste mRNA</t>
  </si>
  <si>
    <t>1. Maak master mix DNAse + DNAse buffer</t>
  </si>
  <si>
    <t>Buffer:</t>
  </si>
  <si>
    <t>plus DNAse:</t>
  </si>
  <si>
    <t>is samen</t>
  </si>
  <si>
    <t>2. neem RNA volgens tabel en voeg DEPC water toe</t>
  </si>
  <si>
    <t>3. voeg master mix (stap 1) toe: 3.3 uL per sample. Incubeer op KT, 15 min</t>
  </si>
  <si>
    <t>4. verwarm hitteblock voor op 65C</t>
  </si>
  <si>
    <t xml:space="preserve">6. samples op ijs </t>
  </si>
  <si>
    <t>7. voeg Random hexamer (2.2 uL) en ODT primers (1.1 uL) toe</t>
  </si>
  <si>
    <t>8. maak de volgende mixen</t>
  </si>
  <si>
    <t>N (N*1.1) =</t>
  </si>
  <si>
    <t>5. voeg 2.2 uL EDTA toe aan samples. Incubeer op 65C, 15 min (deactivatie DNAse)</t>
  </si>
  <si>
    <t>9. denatureer je samples op 65C, 10 min. Hierna op ijs</t>
  </si>
  <si>
    <t>10. pipeteer 2 keer 11.6 uL per sample in een 96 wells plaat. Je krijgt dus (N*2) gevulde wells. Liefst in het midden van de plaat ter preventie van verdamping.</t>
  </si>
  <si>
    <t>11. voeg per sample bij 1 well 8,4 uL van de RT+ mix en bij 1 well 8,4 uL van de RT- mix toe</t>
  </si>
  <si>
    <t>12. zet plaat in PCR machine en voer hetvolgende protocol uit:</t>
  </si>
  <si>
    <r>
      <rPr>
        <sz val="12"/>
        <rFont val="Calibri"/>
        <family val="2"/>
      </rPr>
      <t>∞</t>
    </r>
    <r>
      <rPr>
        <sz val="12"/>
        <rFont val="Times New Roman"/>
        <family val="1"/>
      </rPr>
      <t xml:space="preserve"> minutes 4'C</t>
    </r>
  </si>
  <si>
    <t>13. zet sample plaat op ijs</t>
  </si>
  <si>
    <t>Well Position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</si>
  <si>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</si>
  <si>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</si>
  <si>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</si>
  <si>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</si>
  <si>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</si>
  <si>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</si>
  <si>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</si>
  <si>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</si>
  <si>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</si>
  <si>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</si>
  <si>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</si>
  <si>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</si>
  <si>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</si>
  <si>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</si>
  <si>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B1</t>
  </si>
  <si>
    <t>B2</t>
  </si>
  <si>
    <t>B3</t>
  </si>
  <si>
    <t>B4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</si>
  <si>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</si>
  <si>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</si>
  <si>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</si>
  <si>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</si>
  <si>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</si>
  <si>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</si>
  <si>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</si>
  <si>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</si>
  <si>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</si>
  <si>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</si>
  <si>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</si>
  <si>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</si>
  <si>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</si>
  <si>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</si>
  <si>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</si>
  <si>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</si>
  <si>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</si>
  <si>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</si>
  <si>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</si>
  <si>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</si>
  <si>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</si>
  <si>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</si>
  <si>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</si>
  <si>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</si>
  <si>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</si>
  <si>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</si>
  <si>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</si>
  <si>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</si>
  <si>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</si>
  <si>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</si>
  <si>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</si>
  <si>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</si>
  <si>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</si>
  <si>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</si>
  <si>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</si>
  <si>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</si>
  <si>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</si>
  <si>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</si>
  <si>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</si>
  <si>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</si>
  <si>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</si>
  <si>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</si>
  <si>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</si>
  <si>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</si>
  <si>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</si>
  <si>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</si>
  <si>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H1</t>
  </si>
  <si>
    <t>H2</t>
  </si>
  <si>
    <t>H3</t>
  </si>
  <si>
    <t>H4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</si>
  <si>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</si>
  <si>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</si>
  <si>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</si>
  <si>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</si>
  <si>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</si>
  <si>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</si>
  <si>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</si>
  <si>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</si>
  <si>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</si>
  <si>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</si>
  <si>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</si>
  <si>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</si>
  <si>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</si>
  <si>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</si>
  <si>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</si>
  <si>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</si>
  <si>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</si>
  <si>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</si>
  <si>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</si>
  <si>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</si>
  <si>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</si>
  <si>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</si>
  <si>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</si>
  <si>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</si>
  <si>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</si>
  <si>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</si>
  <si>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</si>
  <si>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</si>
  <si>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</si>
  <si>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</si>
  <si>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</si>
  <si>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</si>
  <si>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CT</t>
  </si>
  <si>
    <t>Undetermined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</si>
  <si>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</si>
  <si>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</si>
  <si>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</si>
  <si>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</si>
  <si>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</si>
  <si>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</si>
  <si>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</si>
  <si>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</si>
  <si>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</si>
  <si>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</si>
  <si>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</si>
  <si>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</si>
  <si>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ASO respons</t>
  </si>
  <si>
    <t>control average</t>
  </si>
  <si>
    <t>Aso respons</t>
  </si>
  <si>
    <t>delta delta ct</t>
  </si>
  <si>
    <t>RT+107.1 (1) T3</t>
  </si>
  <si>
    <t>RT+107.1 (2) T3</t>
  </si>
  <si>
    <t>RT+107.1 (1) ASO 12,5</t>
  </si>
  <si>
    <t>RT+107.1 (1) ASO 25,0</t>
  </si>
  <si>
    <t>RT+63.1 (1) T3</t>
  </si>
  <si>
    <t>RT+63.1 (2) T3</t>
  </si>
  <si>
    <t>RT+63.1 (1) ASO 12,5</t>
  </si>
  <si>
    <t>RT+63.1 (1) ASO 25,0</t>
  </si>
  <si>
    <t xml:space="preserve">14. neem van elk RT+ sample 8 uL en pool dit. Je hebt dan </t>
  </si>
  <si>
    <t>uL.</t>
  </si>
  <si>
    <t xml:space="preserve">15. vul aan met </t>
  </si>
  <si>
    <t>uL DEPC H2O</t>
  </si>
  <si>
    <t xml:space="preserve">dan heb je </t>
  </si>
  <si>
    <t>uL mix</t>
  </si>
  <si>
    <t>16. neem hiervan 37 uL en stop het in een eppje.</t>
  </si>
  <si>
    <t>17. neem nog een eppje en stop hier ook 37 uL in maar doe hier ook 37uL water in. pipeteer op en neer om te mengen.</t>
  </si>
  <si>
    <t>onverdund:</t>
  </si>
  <si>
    <t>1:1 verdund</t>
  </si>
  <si>
    <t>1:2 verdund</t>
  </si>
  <si>
    <t>1:4 verdund</t>
  </si>
  <si>
    <t>1:8 verdund</t>
  </si>
  <si>
    <t>1:16 verdund</t>
  </si>
  <si>
    <t>conc :16 ng/uL</t>
  </si>
  <si>
    <t>conc :8 ng/uL</t>
  </si>
  <si>
    <t>conc :4 ng/uL</t>
  </si>
  <si>
    <t>conc :2 ng/uL</t>
  </si>
  <si>
    <t>conc :1 ng/uL</t>
  </si>
  <si>
    <t>conc :0.5 ng/uL</t>
  </si>
  <si>
    <t>18. neem van deze 1:1 verdunning 37 en stop deze in een nieuw eppje. Maak zo een verdunningsreeks van 6 epjes steeds 1:1 verdund. Neem ook een watercontrole mee. Op deze manier heb je een verdunningsreeks van:</t>
  </si>
  <si>
    <t>RT+ samples</t>
  </si>
  <si>
    <t>19. Neem rest van de RT+ sample (12uL) en voeg hier per sample  56.4 uL aan DEPC aan toe.</t>
  </si>
  <si>
    <r>
      <t xml:space="preserve">Gebruik per PCR reactie </t>
    </r>
    <r>
      <rPr>
        <b/>
        <sz val="11"/>
        <color theme="1"/>
        <rFont val="Calibri"/>
        <family val="2"/>
        <scheme val="minor"/>
      </rPr>
      <t>2.5 uL</t>
    </r>
  </si>
  <si>
    <t>RT- samples</t>
  </si>
  <si>
    <t>20. neem de RT- samples (20uL) en voeg hier per sample 94uL depc aan toe</t>
  </si>
  <si>
    <r>
      <t xml:space="preserve">Pool samples en gebruik per PCR reactie </t>
    </r>
    <r>
      <rPr>
        <b/>
        <sz val="11"/>
        <color theme="1"/>
        <rFont val="Calibri"/>
        <family val="2"/>
        <scheme val="minor"/>
      </rPr>
      <t>2.5 uL</t>
    </r>
  </si>
  <si>
    <t xml:space="preserve"> GAPDH</t>
  </si>
  <si>
    <t>Indelen en uitplaten QPCR reactie</t>
  </si>
  <si>
    <t>n=1</t>
  </si>
  <si>
    <t>21. deel je plaat in</t>
  </si>
  <si>
    <t>22. Naak de volgende master mixes:</t>
  </si>
  <si>
    <t>23. voeg 10uL van de Master mix toe aan de well van de qpcr plaat</t>
  </si>
  <si>
    <t>24. voeg 2.5uL sample toe per wel</t>
  </si>
  <si>
    <t>25. sluit plaat af</t>
  </si>
  <si>
    <t>26. run qpcr</t>
  </si>
  <si>
    <t>UMM (2X) (ROX)</t>
  </si>
  <si>
    <t xml:space="preserve"> qPCR machine</t>
  </si>
  <si>
    <t>24. Zet de machine aan als dit niet het geval was. Wachtwoord is ngt12kmn en ga naar experiment setup</t>
  </si>
  <si>
    <t>25. Selecteer standard i.p.v. fast</t>
  </si>
  <si>
    <t>26. Ga door naar define</t>
  </si>
  <si>
    <t>27. Vul bij target name de genen in</t>
  </si>
  <si>
    <t xml:space="preserve">28. Ga door naar assign </t>
  </si>
  <si>
    <t>29. Selecteer de wellen met samples. Gebruik 'define standards' om het programma automatisch de juiste standaard concentraties toe te wijzen</t>
  </si>
  <si>
    <t>30. Ga door naar run method</t>
  </si>
  <si>
    <t>31. Controleer de run</t>
  </si>
  <si>
    <t>2 minutes 50'C</t>
  </si>
  <si>
    <t>10 minutes 95'C</t>
  </si>
  <si>
    <t>15 seconds 95'C</t>
  </si>
  <si>
    <t>40 cycli</t>
  </si>
  <si>
    <t>1 minute 60'C</t>
  </si>
  <si>
    <t>32. Ga naar instrument -&gt; instrument console</t>
  </si>
  <si>
    <t>33. Open en sluit de deur</t>
  </si>
  <si>
    <t>34. Run de plaat</t>
  </si>
  <si>
    <t>33. Zet run volume op 13 µL</t>
  </si>
  <si>
    <t>Data analysis qPCR results</t>
  </si>
  <si>
    <t>Effienctie</t>
  </si>
  <si>
    <t>1. Bereken de effienctie door een ijklijn te maken met de logwaarden van de standaardreeks concentraties op de x-as</t>
  </si>
  <si>
    <t>2. Zet op de y-as de losse bijbehorden Ct-waarden</t>
  </si>
  <si>
    <t>3. Maak een trendlijn en zet de formule van de lijn erbij</t>
  </si>
  <si>
    <t>4. Bereken de effienctie met de volgende formule</t>
  </si>
  <si>
    <t>=10^(-1/richtingscoefficient)-1</t>
  </si>
  <si>
    <t>Een effienctie van &gt;85% is betrouwbaar</t>
  </si>
  <si>
    <t>5. Bereken de effienctie voor zowel het gen van interesse en een referentiegen (e.g. GAPDH)</t>
  </si>
  <si>
    <t>Delta delta Ct-methode</t>
  </si>
  <si>
    <t>1. Indien de samples in duplo/triplo zijn gemeten -&gt; middel de waarden</t>
  </si>
  <si>
    <t>2.  Trek van de waarden van het experimentele gen (e.g. KLF9) het gemiddelde van je referentiegen af om Delta Ct-waarden te krijgen</t>
  </si>
  <si>
    <t>KLF9 minus GAPDH</t>
  </si>
  <si>
    <t>3. Bereken het gemiddelde van je negatieve controle (0 nM …)</t>
  </si>
  <si>
    <t>4. Trek dit gemiddelde van stap 3 af van je Delta Ct-waarden om Delta Delta Ct-waarden te krijgen</t>
  </si>
  <si>
    <t>5. Bereken de fold change met de volgende formule</t>
  </si>
  <si>
    <t>=2^-Delta Delta Ct</t>
  </si>
  <si>
    <t>6. Als het hele experiment in duplo was uitgevoerd, kunnen nu de fold changes gemiddeld worden</t>
  </si>
  <si>
    <t>7. Maak een plot van de gemiddelde fold change per conditie</t>
  </si>
  <si>
    <t>Delta Delta Ct example</t>
  </si>
  <si>
    <t>v1</t>
  </si>
  <si>
    <t>10 nM T3</t>
  </si>
  <si>
    <t>0 nM TA</t>
  </si>
  <si>
    <t>Cumulative KLF9</t>
  </si>
  <si>
    <t>Average Ct KLF9</t>
  </si>
  <si>
    <t>v2</t>
  </si>
  <si>
    <t>Delta Ct</t>
  </si>
  <si>
    <t>Delta delta Ct</t>
  </si>
  <si>
    <t>0 nM</t>
  </si>
  <si>
    <t>10 nM TA</t>
  </si>
  <si>
    <t>Control average</t>
  </si>
  <si>
    <t>63.1 0 nM=</t>
  </si>
  <si>
    <t>107.1 0 nM=</t>
  </si>
  <si>
    <t>Cumulative GAPDH</t>
  </si>
  <si>
    <t>Average Ct GAPDH</t>
  </si>
  <si>
    <t>Fold change</t>
  </si>
  <si>
    <t>Average fold change</t>
  </si>
  <si>
    <t>63.1= patient</t>
  </si>
  <si>
    <t>107.1= gezond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</si>
</sst>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0.0000"/>
    <numFmt numFmtId="167" formatCode="#,##0.000"/>
  </numFmts>
  <fonts count="38" x14ac:knownFonts="1">
    <font>
      <sz val="11"/>
      <color theme="1"/>
      <name val="Calibri"/>
      <family val="2"/>
      <scheme val="minor"/>
    </font>
    <font>
      <b/>
      <sz val="12"/>
      <color indexed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10"/>
      <name val="Times New Roman"/>
      <family val="1"/>
    </font>
    <font>
      <i/>
      <sz val="12"/>
      <name val="Times New Roman"/>
      <family val="1"/>
    </font>
    <font>
      <sz val="10"/>
      <name val="Courier New"/>
      <family val="3"/>
    </font>
    <font>
      <b/>
      <sz val="10"/>
      <name val="Courier New"/>
      <family val="3"/>
    </font>
    <font>
      <sz val="10"/>
      <color theme="1"/>
      <name val="Courier New"/>
      <family val="3"/>
    </font>
    <font>
      <b/>
      <sz val="12"/>
      <color rgb="FFFF0000"/>
      <name val="Times New Roman"/>
      <family val="1"/>
    </font>
    <font>
      <b/>
      <sz val="11"/>
      <name val="Courier New"/>
      <family val="3"/>
    </font>
    <font>
      <sz val="6"/>
      <color theme="5" tint="-0.249977111117893"/>
      <name val="Courier New"/>
      <family val="3"/>
    </font>
    <font>
      <sz val="8"/>
      <name val="Times New Roman"/>
      <family val="1"/>
    </font>
    <font>
      <strike/>
      <sz val="8"/>
      <name val="Times New Roman"/>
      <family val="1"/>
    </font>
    <font>
      <sz val="11"/>
      <color theme="1"/>
      <name val="Courier New"/>
      <family val="3"/>
    </font>
    <font>
      <sz val="10"/>
      <color theme="0"/>
      <name val="Courier New"/>
      <family val="3"/>
    </font>
    <font>
      <sz val="10"/>
      <color theme="0" tint="-0.249977111117893"/>
      <name val="Courier New"/>
      <family val="3"/>
    </font>
    <font>
      <b/>
      <sz val="10"/>
      <color theme="0" tint="-0.249977111117893"/>
      <name val="Courier New"/>
      <family val="3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Segoe UI"/>
      <family val="2"/>
    </font>
    <font>
      <sz val="11"/>
      <color rgb="FF242424"/>
      <name val="Calibri"/>
      <family val="2"/>
    </font>
    <font>
      <b/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indexed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EA4A4"/>
        <bgColor indexed="64"/>
      </patternFill>
    </fill>
    <fill>
      <patternFill patternType="solid">
        <fgColor theme="4" tint="0.59999389629810485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2" fillId="0" borderId="0"/>
  </cellStyleXfs>
  <cellXfs count="3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14" fontId="2" fillId="0" borderId="0" xfId="0" applyNumberFormat="1" applyFont="1"/>
    <xf numFmtId="0" fontId="3" fillId="2" borderId="0" xfId="0" applyFont="1" applyFill="1"/>
    <xf numFmtId="0" fontId="2" fillId="2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3" fillId="0" borderId="8" xfId="0" applyFont="1" applyBorder="1"/>
    <xf numFmtId="0" fontId="2" fillId="0" borderId="10" xfId="0" applyFont="1" applyFill="1" applyBorder="1"/>
    <xf numFmtId="164" fontId="2" fillId="0" borderId="11" xfId="0" applyNumberFormat="1" applyFont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11" xfId="0" applyFont="1" applyBorder="1" applyAlignment="1">
      <alignment horizontal="left"/>
    </xf>
    <xf numFmtId="2" fontId="2" fillId="0" borderId="11" xfId="0" applyNumberFormat="1" applyFont="1" applyFill="1" applyBorder="1" applyAlignment="1">
      <alignment horizontal="left"/>
    </xf>
    <xf numFmtId="0" fontId="2" fillId="0" borderId="12" xfId="0" applyFont="1" applyFill="1" applyBorder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/>
    <xf numFmtId="0" fontId="6" fillId="0" borderId="0" xfId="0" applyFont="1"/>
    <xf numFmtId="0" fontId="6" fillId="0" borderId="3" xfId="0" applyFont="1" applyBorder="1" applyAlignment="1">
      <alignment horizontal="center"/>
    </xf>
    <xf numFmtId="0" fontId="6" fillId="0" borderId="1" xfId="0" applyFont="1" applyFill="1" applyBorder="1"/>
    <xf numFmtId="0" fontId="6" fillId="0" borderId="0" xfId="0" applyFont="1" applyFill="1"/>
    <xf numFmtId="0" fontId="7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 applyFill="1" applyBorder="1"/>
    <xf numFmtId="0" fontId="6" fillId="0" borderId="1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3" fillId="7" borderId="5" xfId="0" applyFont="1" applyFill="1" applyBorder="1"/>
    <xf numFmtId="0" fontId="6" fillId="0" borderId="1" xfId="0" applyFont="1" applyBorder="1" applyAlignment="1">
      <alignment horizontal="left"/>
    </xf>
    <xf numFmtId="2" fontId="9" fillId="8" borderId="0" xfId="0" applyNumberFormat="1" applyFont="1" applyFill="1" applyBorder="1" applyAlignment="1">
      <alignment horizontal="left"/>
    </xf>
    <xf numFmtId="0" fontId="9" fillId="8" borderId="0" xfId="0" applyFont="1" applyFill="1" applyBorder="1" applyAlignment="1">
      <alignment horizontal="left"/>
    </xf>
    <xf numFmtId="0" fontId="2" fillId="5" borderId="0" xfId="0" applyFont="1" applyFill="1"/>
    <xf numFmtId="0" fontId="2" fillId="0" borderId="0" xfId="0" applyFont="1" applyBorder="1" applyAlignment="1">
      <alignment horizontal="center"/>
    </xf>
    <xf numFmtId="0" fontId="9" fillId="0" borderId="0" xfId="0" applyFont="1"/>
    <xf numFmtId="0" fontId="9" fillId="7" borderId="1" xfId="0" applyFont="1" applyFill="1" applyBorder="1"/>
    <xf numFmtId="0" fontId="0" fillId="0" borderId="0" xfId="0" applyFill="1"/>
    <xf numFmtId="2" fontId="2" fillId="3" borderId="1" xfId="0" applyNumberFormat="1" applyFont="1" applyFill="1" applyBorder="1" applyAlignment="1">
      <alignment horizontal="left"/>
    </xf>
    <xf numFmtId="0" fontId="0" fillId="0" borderId="0" xfId="0" applyFill="1" applyBorder="1"/>
    <xf numFmtId="0" fontId="8" fillId="0" borderId="0" xfId="0" applyFont="1" applyFill="1" applyBorder="1"/>
    <xf numFmtId="0" fontId="0" fillId="0" borderId="0" xfId="0" quotePrefix="1"/>
    <xf numFmtId="0" fontId="12" fillId="0" borderId="16" xfId="0" applyFont="1" applyBorder="1"/>
    <xf numFmtId="0" fontId="12" fillId="0" borderId="16" xfId="0" applyFont="1" applyFill="1" applyBorder="1"/>
    <xf numFmtId="0" fontId="12" fillId="0" borderId="16" xfId="0" applyFont="1" applyBorder="1" applyAlignment="1">
      <alignment horizontal="center"/>
    </xf>
    <xf numFmtId="0" fontId="12" fillId="0" borderId="1" xfId="0" applyFont="1" applyBorder="1"/>
    <xf numFmtId="0" fontId="12" fillId="0" borderId="14" xfId="0" applyFont="1" applyBorder="1"/>
    <xf numFmtId="0" fontId="12" fillId="0" borderId="14" xfId="0" applyFont="1" applyFill="1" applyBorder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/>
    <xf numFmtId="0" fontId="12" fillId="0" borderId="13" xfId="0" applyFont="1" applyBorder="1"/>
    <xf numFmtId="0" fontId="12" fillId="0" borderId="17" xfId="0" applyFont="1" applyBorder="1"/>
    <xf numFmtId="0" fontId="12" fillId="0" borderId="4" xfId="0" applyFont="1" applyBorder="1"/>
    <xf numFmtId="0" fontId="4" fillId="0" borderId="25" xfId="0" applyFont="1" applyBorder="1"/>
    <xf numFmtId="0" fontId="2" fillId="0" borderId="4" xfId="0" applyFont="1" applyBorder="1"/>
    <xf numFmtId="2" fontId="2" fillId="0" borderId="4" xfId="0" applyNumberFormat="1" applyFont="1" applyBorder="1" applyAlignment="1">
      <alignment horizontal="left"/>
    </xf>
    <xf numFmtId="2" fontId="2" fillId="0" borderId="26" xfId="0" applyNumberFormat="1" applyFont="1" applyFill="1" applyBorder="1" applyAlignment="1">
      <alignment horizontal="left"/>
    </xf>
    <xf numFmtId="2" fontId="2" fillId="0" borderId="0" xfId="0" applyNumberFormat="1" applyFont="1"/>
    <xf numFmtId="0" fontId="3" fillId="0" borderId="0" xfId="0" quotePrefix="1" applyFont="1" applyAlignment="1">
      <alignment horizontal="right"/>
    </xf>
    <xf numFmtId="1" fontId="2" fillId="0" borderId="0" xfId="0" applyNumberFormat="1" applyFont="1"/>
    <xf numFmtId="0" fontId="10" fillId="5" borderId="1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20" xfId="0" applyFont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2" fillId="0" borderId="14" xfId="0" quotePrefix="1" applyFont="1" applyFill="1" applyBorder="1" applyAlignment="1">
      <alignment horizontal="center"/>
    </xf>
    <xf numFmtId="0" fontId="13" fillId="0" borderId="14" xfId="0" applyFont="1" applyFill="1" applyBorder="1"/>
    <xf numFmtId="0" fontId="3" fillId="9" borderId="5" xfId="0" applyFont="1" applyFill="1" applyBorder="1"/>
    <xf numFmtId="0" fontId="0" fillId="0" borderId="0" xfId="0" quotePrefix="1" applyFill="1"/>
    <xf numFmtId="0" fontId="6" fillId="0" borderId="0" xfId="0" applyFont="1" applyFill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7" fillId="0" borderId="32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3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7" fillId="0" borderId="3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16" fillId="0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164" fontId="6" fillId="0" borderId="0" xfId="0" applyNumberFormat="1" applyFont="1" applyFill="1" applyBorder="1" applyAlignment="1">
      <alignment horizontal="center"/>
    </xf>
    <xf numFmtId="0" fontId="18" fillId="0" borderId="0" xfId="0" applyFont="1" applyFill="1" applyBorder="1"/>
    <xf numFmtId="0" fontId="2" fillId="0" borderId="0" xfId="0" applyFont="1" applyFill="1" applyAlignment="1">
      <alignment horizontal="left"/>
    </xf>
    <xf numFmtId="0" fontId="12" fillId="10" borderId="14" xfId="0" quotePrefix="1" applyFont="1" applyFill="1" applyBorder="1"/>
    <xf numFmtId="0" fontId="19" fillId="10" borderId="14" xfId="0" applyFont="1" applyFill="1" applyBorder="1"/>
    <xf numFmtId="0" fontId="12" fillId="11" borderId="14" xfId="0" quotePrefix="1" applyFont="1" applyFill="1" applyBorder="1"/>
    <xf numFmtId="0" fontId="19" fillId="11" borderId="14" xfId="0" applyFont="1" applyFill="1" applyBorder="1"/>
    <xf numFmtId="0" fontId="19" fillId="0" borderId="14" xfId="0" applyFont="1" applyFill="1" applyBorder="1"/>
    <xf numFmtId="165" fontId="2" fillId="0" borderId="0" xfId="0" applyNumberFormat="1" applyFont="1"/>
    <xf numFmtId="0" fontId="6" fillId="5" borderId="1" xfId="0" applyFont="1" applyFill="1" applyBorder="1"/>
    <xf numFmtId="0" fontId="7" fillId="5" borderId="4" xfId="0" applyFont="1" applyFill="1" applyBorder="1" applyAlignment="1">
      <alignment horizontal="right"/>
    </xf>
    <xf numFmtId="0" fontId="15" fillId="5" borderId="1" xfId="0" applyFont="1" applyFill="1" applyBorder="1"/>
    <xf numFmtId="0" fontId="6" fillId="13" borderId="1" xfId="0" applyFont="1" applyFill="1" applyBorder="1"/>
    <xf numFmtId="0" fontId="7" fillId="13" borderId="4" xfId="0" applyFont="1" applyFill="1" applyBorder="1" applyAlignment="1">
      <alignment horizontal="right"/>
    </xf>
    <xf numFmtId="0" fontId="7" fillId="14" borderId="4" xfId="0" applyFont="1" applyFill="1" applyBorder="1" applyAlignment="1">
      <alignment horizontal="right"/>
    </xf>
    <xf numFmtId="0" fontId="6" fillId="15" borderId="1" xfId="0" applyFont="1" applyFill="1" applyBorder="1"/>
    <xf numFmtId="0" fontId="7" fillId="15" borderId="4" xfId="0" applyFont="1" applyFill="1" applyBorder="1" applyAlignment="1">
      <alignment horizontal="right"/>
    </xf>
    <xf numFmtId="0" fontId="0" fillId="14" borderId="1" xfId="0" applyFill="1" applyBorder="1"/>
    <xf numFmtId="0" fontId="8" fillId="5" borderId="1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6" fillId="18" borderId="1" xfId="0" applyFont="1" applyFill="1" applyBorder="1"/>
    <xf numFmtId="0" fontId="7" fillId="18" borderId="4" xfId="0" applyFont="1" applyFill="1" applyBorder="1" applyAlignment="1">
      <alignment horizontal="right"/>
    </xf>
    <xf numFmtId="0" fontId="8" fillId="15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left"/>
    </xf>
    <xf numFmtId="0" fontId="8" fillId="5" borderId="8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23" fillId="19" borderId="1" xfId="0" applyFont="1" applyFill="1" applyBorder="1" applyAlignment="1">
      <alignment vertical="center" wrapText="1"/>
    </xf>
    <xf numFmtId="0" fontId="23" fillId="19" borderId="38" xfId="0" applyFont="1" applyFill="1" applyBorder="1" applyAlignment="1">
      <alignment vertical="center" wrapText="1"/>
    </xf>
    <xf numFmtId="0" fontId="22" fillId="19" borderId="1" xfId="0" applyFont="1" applyFill="1" applyBorder="1" applyAlignment="1"/>
    <xf numFmtId="0" fontId="22" fillId="19" borderId="13" xfId="0" applyFont="1" applyFill="1" applyBorder="1" applyAlignment="1"/>
    <xf numFmtId="0" fontId="23" fillId="19" borderId="6" xfId="0" applyFont="1" applyFill="1" applyBorder="1" applyAlignment="1">
      <alignment vertical="center" wrapText="1"/>
    </xf>
    <xf numFmtId="0" fontId="23" fillId="19" borderId="6" xfId="0" applyFont="1" applyFill="1" applyBorder="1" applyAlignment="1">
      <alignment horizontal="right" vertical="center" wrapText="1"/>
    </xf>
    <xf numFmtId="0" fontId="23" fillId="19" borderId="7" xfId="0" applyFont="1" applyFill="1" applyBorder="1" applyAlignment="1">
      <alignment vertical="center" wrapText="1"/>
    </xf>
    <xf numFmtId="0" fontId="23" fillId="19" borderId="9" xfId="0" applyFont="1" applyFill="1" applyBorder="1" applyAlignment="1">
      <alignment vertical="center" wrapText="1"/>
    </xf>
    <xf numFmtId="0" fontId="22" fillId="19" borderId="38" xfId="0" applyFont="1" applyFill="1" applyBorder="1" applyAlignment="1"/>
    <xf numFmtId="0" fontId="23" fillId="19" borderId="40" xfId="0" applyFont="1" applyFill="1" applyBorder="1" applyAlignment="1">
      <alignment vertical="center" wrapText="1"/>
    </xf>
    <xf numFmtId="0" fontId="23" fillId="19" borderId="36" xfId="0" applyFont="1" applyFill="1" applyBorder="1" applyAlignment="1">
      <alignment vertical="center" wrapText="1"/>
    </xf>
    <xf numFmtId="0" fontId="23" fillId="19" borderId="42" xfId="0" applyFont="1" applyFill="1" applyBorder="1" applyAlignment="1">
      <alignment vertical="center" wrapText="1"/>
    </xf>
    <xf numFmtId="0" fontId="26" fillId="13" borderId="9" xfId="0" applyFont="1" applyFill="1" applyBorder="1" applyAlignment="1">
      <alignment vertical="center" wrapText="1"/>
    </xf>
    <xf numFmtId="0" fontId="26" fillId="13" borderId="1" xfId="0" applyFont="1" applyFill="1" applyBorder="1" applyAlignment="1">
      <alignment vertical="center" wrapText="1"/>
    </xf>
    <xf numFmtId="0" fontId="8" fillId="15" borderId="8" xfId="0" applyFont="1" applyFill="1" applyBorder="1" applyAlignment="1">
      <alignment horizontal="center"/>
    </xf>
    <xf numFmtId="0" fontId="8" fillId="14" borderId="8" xfId="0" applyFont="1" applyFill="1" applyBorder="1" applyAlignment="1">
      <alignment horizontal="center"/>
    </xf>
    <xf numFmtId="0" fontId="8" fillId="18" borderId="8" xfId="0" applyFont="1" applyFill="1" applyBorder="1" applyAlignment="1">
      <alignment horizontal="center"/>
    </xf>
    <xf numFmtId="0" fontId="8" fillId="13" borderId="8" xfId="0" applyFont="1" applyFill="1" applyBorder="1" applyAlignment="1">
      <alignment horizontal="center"/>
    </xf>
    <xf numFmtId="166" fontId="23" fillId="19" borderId="1" xfId="0" applyNumberFormat="1" applyFont="1" applyFill="1" applyBorder="1" applyAlignment="1">
      <alignment horizontal="right" vertical="center" wrapText="1"/>
    </xf>
    <xf numFmtId="166" fontId="23" fillId="19" borderId="38" xfId="0" applyNumberFormat="1" applyFont="1" applyFill="1" applyBorder="1" applyAlignment="1">
      <alignment horizontal="right" vertical="center" wrapText="1"/>
    </xf>
    <xf numFmtId="166" fontId="23" fillId="19" borderId="36" xfId="0" applyNumberFormat="1" applyFont="1" applyFill="1" applyBorder="1" applyAlignment="1">
      <alignment horizontal="right" vertical="center" wrapText="1"/>
    </xf>
    <xf numFmtId="166" fontId="22" fillId="19" borderId="13" xfId="0" applyNumberFormat="1" applyFont="1" applyFill="1" applyBorder="1" applyAlignment="1"/>
    <xf numFmtId="166" fontId="22" fillId="19" borderId="1" xfId="0" applyNumberFormat="1" applyFont="1" applyFill="1" applyBorder="1" applyAlignment="1"/>
    <xf numFmtId="166" fontId="22" fillId="19" borderId="38" xfId="0" applyNumberFormat="1" applyFont="1" applyFill="1" applyBorder="1" applyAlignment="1"/>
    <xf numFmtId="166" fontId="23" fillId="19" borderId="6" xfId="0" applyNumberFormat="1" applyFont="1" applyFill="1" applyBorder="1" applyAlignment="1">
      <alignment vertical="center" wrapText="1"/>
    </xf>
    <xf numFmtId="166" fontId="24" fillId="19" borderId="1" xfId="0" applyNumberFormat="1" applyFont="1" applyFill="1" applyBorder="1" applyAlignment="1">
      <alignment horizontal="right" vertical="center" wrapText="1"/>
    </xf>
    <xf numFmtId="166" fontId="23" fillId="19" borderId="6" xfId="0" applyNumberFormat="1" applyFont="1" applyFill="1" applyBorder="1" applyAlignment="1">
      <alignment horizontal="right" vertical="center" wrapText="1"/>
    </xf>
    <xf numFmtId="166" fontId="26" fillId="13" borderId="1" xfId="0" applyNumberFormat="1" applyFont="1" applyFill="1" applyBorder="1" applyAlignment="1">
      <alignment horizontal="right" vertical="center" wrapText="1"/>
    </xf>
    <xf numFmtId="166" fontId="25" fillId="13" borderId="1" xfId="0" applyNumberFormat="1" applyFont="1" applyFill="1" applyBorder="1" applyAlignment="1">
      <alignment horizontal="right" vertical="center" wrapText="1"/>
    </xf>
    <xf numFmtId="166" fontId="24" fillId="19" borderId="38" xfId="0" applyNumberFormat="1" applyFont="1" applyFill="1" applyBorder="1" applyAlignment="1">
      <alignment horizontal="right" vertical="center" wrapText="1"/>
    </xf>
    <xf numFmtId="166" fontId="24" fillId="19" borderId="36" xfId="0" applyNumberFormat="1" applyFont="1" applyFill="1" applyBorder="1" applyAlignment="1">
      <alignment horizontal="right" vertical="center" wrapText="1"/>
    </xf>
    <xf numFmtId="0" fontId="28" fillId="5" borderId="1" xfId="0" applyFont="1" applyFill="1" applyBorder="1"/>
    <xf numFmtId="164" fontId="28" fillId="5" borderId="1" xfId="0" applyNumberFormat="1" applyFont="1" applyFill="1" applyBorder="1" applyAlignment="1">
      <alignment horizontal="left"/>
    </xf>
    <xf numFmtId="2" fontId="28" fillId="5" borderId="1" xfId="0" applyNumberFormat="1" applyFont="1" applyFill="1" applyBorder="1" applyAlignment="1">
      <alignment horizontal="left"/>
    </xf>
    <xf numFmtId="164" fontId="28" fillId="5" borderId="1" xfId="0" applyNumberFormat="1" applyFont="1" applyFill="1" applyBorder="1"/>
    <xf numFmtId="0" fontId="0" fillId="0" borderId="1" xfId="0" applyBorder="1"/>
    <xf numFmtId="0" fontId="0" fillId="0" borderId="0" xfId="0" applyFont="1"/>
    <xf numFmtId="0" fontId="28" fillId="5" borderId="1" xfId="0" applyFont="1" applyFill="1" applyBorder="1" applyAlignment="1">
      <alignment horizontal="left"/>
    </xf>
    <xf numFmtId="0" fontId="0" fillId="12" borderId="44" xfId="0" applyFill="1" applyBorder="1"/>
    <xf numFmtId="0" fontId="0" fillId="18" borderId="0" xfId="0" applyFill="1"/>
    <xf numFmtId="0" fontId="28" fillId="5" borderId="6" xfId="0" applyFont="1" applyFill="1" applyBorder="1" applyAlignment="1">
      <alignment horizontal="left"/>
    </xf>
    <xf numFmtId="0" fontId="28" fillId="5" borderId="6" xfId="0" applyFont="1" applyFill="1" applyBorder="1" applyAlignment="1">
      <alignment horizontal="right"/>
    </xf>
    <xf numFmtId="0" fontId="30" fillId="5" borderId="6" xfId="0" applyFont="1" applyFill="1" applyBorder="1"/>
    <xf numFmtId="0" fontId="28" fillId="5" borderId="7" xfId="0" applyFont="1" applyFill="1" applyBorder="1"/>
    <xf numFmtId="0" fontId="28" fillId="5" borderId="8" xfId="0" applyFont="1" applyFill="1" applyBorder="1"/>
    <xf numFmtId="0" fontId="28" fillId="5" borderId="9" xfId="0" applyFont="1" applyFill="1" applyBorder="1" applyAlignment="1">
      <alignment horizontal="left"/>
    </xf>
    <xf numFmtId="0" fontId="28" fillId="10" borderId="5" xfId="0" applyFont="1" applyFill="1" applyBorder="1"/>
    <xf numFmtId="0" fontId="28" fillId="12" borderId="5" xfId="0" applyFont="1" applyFill="1" applyBorder="1"/>
    <xf numFmtId="0" fontId="28" fillId="5" borderId="39" xfId="0" applyFont="1" applyFill="1" applyBorder="1"/>
    <xf numFmtId="0" fontId="28" fillId="5" borderId="38" xfId="0" applyFont="1" applyFill="1" applyBorder="1" applyAlignment="1">
      <alignment horizontal="left"/>
    </xf>
    <xf numFmtId="0" fontId="28" fillId="5" borderId="38" xfId="0" applyFont="1" applyFill="1" applyBorder="1"/>
    <xf numFmtId="2" fontId="28" fillId="5" borderId="38" xfId="0" applyNumberFormat="1" applyFont="1" applyFill="1" applyBorder="1" applyAlignment="1">
      <alignment horizontal="left"/>
    </xf>
    <xf numFmtId="0" fontId="28" fillId="5" borderId="40" xfId="0" applyFont="1" applyFill="1" applyBorder="1" applyAlignment="1">
      <alignment horizontal="left"/>
    </xf>
    <xf numFmtId="0" fontId="30" fillId="5" borderId="7" xfId="0" applyFont="1" applyFill="1" applyBorder="1"/>
    <xf numFmtId="164" fontId="28" fillId="6" borderId="46" xfId="0" applyNumberFormat="1" applyFont="1" applyFill="1" applyBorder="1" applyAlignment="1">
      <alignment horizontal="left"/>
    </xf>
    <xf numFmtId="0" fontId="28" fillId="6" borderId="46" xfId="0" applyFont="1" applyFill="1" applyBorder="1" applyAlignment="1">
      <alignment horizontal="left"/>
    </xf>
    <xf numFmtId="2" fontId="28" fillId="6" borderId="46" xfId="0" applyNumberFormat="1" applyFont="1" applyFill="1" applyBorder="1" applyAlignment="1">
      <alignment horizontal="left"/>
    </xf>
    <xf numFmtId="0" fontId="28" fillId="6" borderId="45" xfId="0" applyFont="1" applyFill="1" applyBorder="1" applyAlignment="1">
      <alignment horizontal="left"/>
    </xf>
    <xf numFmtId="2" fontId="28" fillId="6" borderId="45" xfId="0" applyNumberFormat="1" applyFont="1" applyFill="1" applyBorder="1" applyAlignment="1">
      <alignment horizontal="left"/>
    </xf>
    <xf numFmtId="0" fontId="31" fillId="13" borderId="8" xfId="0" applyFont="1" applyFill="1" applyBorder="1"/>
    <xf numFmtId="167" fontId="0" fillId="0" borderId="0" xfId="0" applyNumberFormat="1"/>
    <xf numFmtId="167" fontId="0" fillId="16" borderId="0" xfId="0" applyNumberFormat="1" applyFill="1"/>
    <xf numFmtId="167" fontId="0" fillId="18" borderId="0" xfId="0" applyNumberFormat="1" applyFill="1"/>
    <xf numFmtId="0" fontId="20" fillId="0" borderId="0" xfId="0" applyFont="1"/>
    <xf numFmtId="165" fontId="0" fillId="0" borderId="0" xfId="0" applyNumberFormat="1"/>
    <xf numFmtId="0" fontId="32" fillId="0" borderId="0" xfId="0" applyFont="1"/>
    <xf numFmtId="0" fontId="33" fillId="14" borderId="47" xfId="0" applyFont="1" applyFill="1" applyBorder="1"/>
    <xf numFmtId="0" fontId="0" fillId="14" borderId="47" xfId="0" applyFill="1" applyBorder="1"/>
    <xf numFmtId="0" fontId="23" fillId="19" borderId="1" xfId="0" applyFont="1" applyFill="1" applyBorder="1" applyAlignment="1">
      <alignment vertical="center" wrapText="1"/>
    </xf>
    <xf numFmtId="0" fontId="26" fillId="13" borderId="1" xfId="0" applyFont="1" applyFill="1" applyBorder="1" applyAlignment="1">
      <alignment vertical="center" wrapText="1"/>
    </xf>
    <xf numFmtId="0" fontId="23" fillId="19" borderId="36" xfId="0" applyFont="1" applyFill="1" applyBorder="1" applyAlignment="1">
      <alignment vertical="center" wrapText="1"/>
    </xf>
    <xf numFmtId="0" fontId="23" fillId="19" borderId="38" xfId="0" applyFont="1" applyFill="1" applyBorder="1" applyAlignment="1">
      <alignment vertical="center" wrapText="1"/>
    </xf>
    <xf numFmtId="0" fontId="0" fillId="0" borderId="27" xfId="0" applyBorder="1"/>
    <xf numFmtId="0" fontId="0" fillId="0" borderId="30" xfId="0" applyBorder="1"/>
    <xf numFmtId="0" fontId="0" fillId="0" borderId="34" xfId="0" applyBorder="1"/>
    <xf numFmtId="0" fontId="0" fillId="0" borderId="48" xfId="0" applyBorder="1"/>
    <xf numFmtId="0" fontId="0" fillId="0" borderId="0" xfId="0" applyBorder="1"/>
    <xf numFmtId="0" fontId="0" fillId="0" borderId="49" xfId="0" applyBorder="1"/>
    <xf numFmtId="0" fontId="2" fillId="0" borderId="0" xfId="0" applyFont="1" applyBorder="1"/>
    <xf numFmtId="0" fontId="0" fillId="0" borderId="9" xfId="0" applyBorder="1"/>
    <xf numFmtId="0" fontId="0" fillId="0" borderId="8" xfId="0" applyBorder="1"/>
    <xf numFmtId="0" fontId="28" fillId="5" borderId="9" xfId="0" applyFont="1" applyFill="1" applyBorder="1"/>
    <xf numFmtId="164" fontId="28" fillId="5" borderId="9" xfId="0" applyNumberFormat="1" applyFont="1" applyFill="1" applyBorder="1"/>
    <xf numFmtId="0" fontId="0" fillId="0" borderId="0" xfId="0" applyFont="1" applyBorder="1"/>
    <xf numFmtId="0" fontId="0" fillId="0" borderId="49" xfId="0" applyFont="1" applyBorder="1"/>
    <xf numFmtId="0" fontId="0" fillId="14" borderId="0" xfId="0" applyFill="1" applyBorder="1"/>
    <xf numFmtId="0" fontId="28" fillId="5" borderId="48" xfId="0" applyFont="1" applyFill="1" applyBorder="1"/>
    <xf numFmtId="0" fontId="28" fillId="5" borderId="0" xfId="0" applyFont="1" applyFill="1" applyBorder="1"/>
    <xf numFmtId="0" fontId="28" fillId="6" borderId="50" xfId="0" applyFont="1" applyFill="1" applyBorder="1"/>
    <xf numFmtId="0" fontId="2" fillId="6" borderId="48" xfId="0" applyFont="1" applyFill="1" applyBorder="1" applyAlignment="1">
      <alignment horizontal="left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14" borderId="8" xfId="0" applyFill="1" applyBorder="1"/>
    <xf numFmtId="20" fontId="0" fillId="14" borderId="8" xfId="0" applyNumberFormat="1" applyFill="1" applyBorder="1"/>
    <xf numFmtId="0" fontId="23" fillId="12" borderId="6" xfId="0" applyFont="1" applyFill="1" applyBorder="1" applyAlignment="1">
      <alignment vertical="center" wrapText="1"/>
    </xf>
    <xf numFmtId="0" fontId="23" fillId="5" borderId="6" xfId="0" applyFont="1" applyFill="1" applyBorder="1" applyAlignment="1">
      <alignment vertical="center" wrapText="1"/>
    </xf>
    <xf numFmtId="0" fontId="23" fillId="20" borderId="24" xfId="0" applyFont="1" applyFill="1" applyBorder="1" applyAlignment="1">
      <alignment horizontal="center" vertical="center" wrapText="1"/>
    </xf>
    <xf numFmtId="0" fontId="23" fillId="20" borderId="55" xfId="0" applyFont="1" applyFill="1" applyBorder="1" applyAlignment="1">
      <alignment horizontal="center" vertical="center" wrapText="1"/>
    </xf>
    <xf numFmtId="0" fontId="23" fillId="19" borderId="22" xfId="0" applyFont="1" applyFill="1" applyBorder="1" applyAlignment="1">
      <alignment vertical="center" wrapText="1"/>
    </xf>
    <xf numFmtId="0" fontId="23" fillId="19" borderId="19" xfId="0" applyFont="1" applyFill="1" applyBorder="1" applyAlignment="1">
      <alignment vertical="center" wrapText="1"/>
    </xf>
    <xf numFmtId="0" fontId="26" fillId="13" borderId="22" xfId="0" applyFont="1" applyFill="1" applyBorder="1" applyAlignment="1">
      <alignment vertical="center" wrapText="1"/>
    </xf>
    <xf numFmtId="0" fontId="26" fillId="13" borderId="19" xfId="0" applyFont="1" applyFill="1" applyBorder="1" applyAlignment="1">
      <alignment vertical="center" wrapText="1"/>
    </xf>
    <xf numFmtId="0" fontId="0" fillId="0" borderId="48" xfId="0" applyFill="1" applyBorder="1"/>
    <xf numFmtId="0" fontId="0" fillId="22" borderId="1" xfId="0" applyFill="1" applyBorder="1"/>
    <xf numFmtId="0" fontId="23" fillId="19" borderId="8" xfId="0" applyFont="1" applyFill="1" applyBorder="1" applyAlignment="1">
      <alignment vertical="center" wrapText="1"/>
    </xf>
    <xf numFmtId="0" fontId="23" fillId="19" borderId="1" xfId="0" applyFont="1" applyFill="1" applyBorder="1" applyAlignment="1">
      <alignment vertical="center" wrapText="1"/>
    </xf>
    <xf numFmtId="0" fontId="26" fillId="13" borderId="8" xfId="0" applyFont="1" applyFill="1" applyBorder="1" applyAlignment="1">
      <alignment vertical="center" wrapText="1"/>
    </xf>
    <xf numFmtId="0" fontId="26" fillId="13" borderId="1" xfId="0" applyFont="1" applyFill="1" applyBorder="1" applyAlignment="1">
      <alignment vertical="center" wrapText="1"/>
    </xf>
    <xf numFmtId="0" fontId="23" fillId="19" borderId="39" xfId="0" applyFont="1" applyFill="1" applyBorder="1" applyAlignment="1">
      <alignment vertical="center" wrapText="1"/>
    </xf>
    <xf numFmtId="0" fontId="23" fillId="19" borderId="38" xfId="0" applyFont="1" applyFill="1" applyBorder="1" applyAlignment="1">
      <alignment vertical="center" wrapText="1"/>
    </xf>
    <xf numFmtId="0" fontId="23" fillId="19" borderId="37" xfId="0" applyFont="1" applyFill="1" applyBorder="1" applyAlignment="1">
      <alignment horizontal="left" vertical="center" wrapText="1"/>
    </xf>
    <xf numFmtId="0" fontId="23" fillId="19" borderId="43" xfId="0" applyFont="1" applyFill="1" applyBorder="1" applyAlignment="1">
      <alignment horizontal="left" vertical="center" wrapText="1"/>
    </xf>
    <xf numFmtId="0" fontId="0" fillId="14" borderId="37" xfId="0" applyFill="1" applyBorder="1" applyAlignment="1">
      <alignment horizontal="left"/>
    </xf>
    <xf numFmtId="0" fontId="0" fillId="14" borderId="54" xfId="0" applyFill="1" applyBorder="1" applyAlignment="1">
      <alignment horizontal="left"/>
    </xf>
    <xf numFmtId="0" fontId="23" fillId="19" borderId="23" xfId="0" applyFont="1" applyFill="1" applyBorder="1" applyAlignment="1">
      <alignment horizontal="left" vertical="center" wrapText="1"/>
    </xf>
    <xf numFmtId="0" fontId="23" fillId="19" borderId="35" xfId="0" applyFont="1" applyFill="1" applyBorder="1" applyAlignment="1">
      <alignment horizontal="left" vertical="center" wrapText="1"/>
    </xf>
    <xf numFmtId="0" fontId="23" fillId="19" borderId="37" xfId="0" applyFont="1" applyFill="1" applyBorder="1" applyAlignment="1">
      <alignment vertical="center" wrapText="1"/>
    </xf>
    <xf numFmtId="0" fontId="23" fillId="19" borderId="43" xfId="0" applyFont="1" applyFill="1" applyBorder="1" applyAlignment="1">
      <alignment vertical="center" wrapText="1"/>
    </xf>
    <xf numFmtId="0" fontId="27" fillId="21" borderId="5" xfId="0" applyFont="1" applyFill="1" applyBorder="1" applyAlignment="1">
      <alignment horizontal="center" vertical="center" wrapText="1"/>
    </xf>
    <xf numFmtId="0" fontId="27" fillId="21" borderId="6" xfId="0" applyFont="1" applyFill="1" applyBorder="1" applyAlignment="1">
      <alignment horizontal="center" vertical="center" wrapText="1"/>
    </xf>
    <xf numFmtId="0" fontId="0" fillId="12" borderId="56" xfId="0" applyFill="1" applyBorder="1" applyAlignment="1">
      <alignment horizontal="center" vertical="center"/>
    </xf>
    <xf numFmtId="0" fontId="0" fillId="17" borderId="56" xfId="0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12" borderId="21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23" fillId="20" borderId="5" xfId="0" applyFont="1" applyFill="1" applyBorder="1" applyAlignment="1">
      <alignment horizontal="center" vertical="center" wrapText="1"/>
    </xf>
    <xf numFmtId="0" fontId="23" fillId="20" borderId="6" xfId="0" applyFont="1" applyFill="1" applyBorder="1" applyAlignment="1">
      <alignment horizontal="center" vertical="center" wrapText="1"/>
    </xf>
    <xf numFmtId="0" fontId="23" fillId="19" borderId="41" xfId="0" applyFont="1" applyFill="1" applyBorder="1" applyAlignment="1">
      <alignment vertical="center" wrapText="1"/>
    </xf>
    <xf numFmtId="0" fontId="23" fillId="19" borderId="36" xfId="0" applyFont="1" applyFill="1" applyBorder="1" applyAlignment="1">
      <alignment vertical="center" wrapText="1"/>
    </xf>
    <xf numFmtId="0" fontId="2" fillId="23" borderId="48" xfId="0" applyFont="1" applyFill="1" applyBorder="1" applyAlignment="1">
      <alignment horizontal="left"/>
    </xf>
    <xf numFmtId="0" fontId="35" fillId="23" borderId="0" xfId="0" applyFont="1" applyFill="1" applyBorder="1" applyAlignment="1">
      <alignment horizontal="center" vertical="center"/>
    </xf>
    <xf numFmtId="0" fontId="18" fillId="23" borderId="48" xfId="0" applyFont="1" applyFill="1" applyBorder="1"/>
    <xf numFmtId="0" fontId="0" fillId="0" borderId="27" xfId="0" applyFont="1" applyBorder="1"/>
    <xf numFmtId="0" fontId="0" fillId="0" borderId="30" xfId="0" applyFont="1" applyBorder="1"/>
    <xf numFmtId="0" fontId="34" fillId="0" borderId="27" xfId="0" applyFont="1" applyBorder="1"/>
    <xf numFmtId="0" fontId="0" fillId="0" borderId="48" xfId="0" applyFont="1" applyBorder="1"/>
    <xf numFmtId="0" fontId="0" fillId="0" borderId="48" xfId="0" quotePrefix="1" applyFont="1" applyBorder="1"/>
    <xf numFmtId="0" fontId="0" fillId="0" borderId="51" xfId="0" applyFont="1" applyBorder="1"/>
    <xf numFmtId="0" fontId="0" fillId="0" borderId="52" xfId="0" applyFont="1" applyBorder="1"/>
    <xf numFmtId="0" fontId="34" fillId="0" borderId="48" xfId="0" applyFont="1" applyBorder="1"/>
    <xf numFmtId="0" fontId="36" fillId="0" borderId="0" xfId="0" applyFont="1"/>
    <xf numFmtId="0" fontId="34" fillId="0" borderId="0" xfId="0" applyFont="1"/>
    <xf numFmtId="0" fontId="37" fillId="0" borderId="0" xfId="1" applyFont="1" applyBorder="1"/>
    <xf numFmtId="0" fontId="32" fillId="0" borderId="0" xfId="1" applyBorder="1"/>
    <xf numFmtId="0" fontId="32" fillId="0" borderId="0" xfId="1"/>
    <xf numFmtId="0" fontId="32" fillId="0" borderId="47" xfId="1" applyBorder="1"/>
    <xf numFmtId="0" fontId="37" fillId="0" borderId="57" xfId="1" applyFont="1" applyBorder="1"/>
    <xf numFmtId="0" fontId="37" fillId="0" borderId="54" xfId="1" applyFont="1" applyBorder="1"/>
    <xf numFmtId="0" fontId="37" fillId="0" borderId="58" xfId="1" applyFont="1" applyBorder="1"/>
    <xf numFmtId="167" fontId="32" fillId="0" borderId="0" xfId="1" applyNumberFormat="1" applyBorder="1"/>
    <xf numFmtId="167" fontId="32" fillId="0" borderId="49" xfId="1" applyNumberFormat="1" applyBorder="1"/>
    <xf numFmtId="0" fontId="37" fillId="0" borderId="47" xfId="1" applyFont="1" applyBorder="1"/>
    <xf numFmtId="0" fontId="32" fillId="0" borderId="58" xfId="1" applyBorder="1"/>
    <xf numFmtId="0" fontId="37" fillId="0" borderId="59" xfId="1" applyFont="1" applyBorder="1"/>
    <xf numFmtId="167" fontId="32" fillId="0" borderId="27" xfId="1" applyNumberFormat="1" applyBorder="1"/>
    <xf numFmtId="167" fontId="32" fillId="0" borderId="30" xfId="1" applyNumberFormat="1" applyBorder="1"/>
    <xf numFmtId="167" fontId="32" fillId="0" borderId="34" xfId="1" applyNumberFormat="1" applyBorder="1"/>
    <xf numFmtId="167" fontId="32" fillId="0" borderId="48" xfId="1" applyNumberFormat="1" applyBorder="1"/>
    <xf numFmtId="0" fontId="32" fillId="0" borderId="16" xfId="1" applyBorder="1"/>
    <xf numFmtId="167" fontId="32" fillId="0" borderId="3" xfId="1" applyNumberFormat="1" applyBorder="1"/>
    <xf numFmtId="167" fontId="32" fillId="0" borderId="60" xfId="1" applyNumberFormat="1" applyBorder="1"/>
    <xf numFmtId="0" fontId="32" fillId="0" borderId="61" xfId="1" applyBorder="1"/>
    <xf numFmtId="167" fontId="32" fillId="0" borderId="52" xfId="1" applyNumberFormat="1" applyBorder="1"/>
    <xf numFmtId="0" fontId="32" fillId="0" borderId="52" xfId="1" applyBorder="1"/>
    <xf numFmtId="167" fontId="32" fillId="0" borderId="53" xfId="1" applyNumberFormat="1" applyBorder="1"/>
    <xf numFmtId="0" fontId="37" fillId="0" borderId="16" xfId="1" applyFont="1" applyBorder="1"/>
    <xf numFmtId="167" fontId="32" fillId="0" borderId="62" xfId="1" applyNumberFormat="1" applyBorder="1"/>
    <xf numFmtId="0" fontId="34" fillId="0" borderId="58" xfId="0" applyFont="1" applyBorder="1"/>
    <xf numFmtId="167" fontId="0" fillId="0" borderId="0" xfId="0" applyNumberFormat="1" applyBorder="1"/>
    <xf numFmtId="167" fontId="0" fillId="0" borderId="49" xfId="0" applyNumberFormat="1" applyBorder="1"/>
    <xf numFmtId="0" fontId="34" fillId="0" borderId="61" xfId="0" applyFont="1" applyBorder="1"/>
    <xf numFmtId="167" fontId="0" fillId="0" borderId="52" xfId="0" applyNumberFormat="1" applyBorder="1"/>
    <xf numFmtId="167" fontId="0" fillId="0" borderId="53" xfId="0" applyNumberFormat="1" applyBorder="1"/>
    <xf numFmtId="167" fontId="32" fillId="0" borderId="30" xfId="1" applyNumberFormat="1" applyFont="1" applyBorder="1"/>
    <xf numFmtId="167" fontId="32" fillId="0" borderId="34" xfId="1" applyNumberFormat="1" applyFont="1" applyBorder="1"/>
    <xf numFmtId="167" fontId="32" fillId="0" borderId="0" xfId="1" applyNumberFormat="1" applyFont="1" applyBorder="1"/>
    <xf numFmtId="167" fontId="32" fillId="0" borderId="49" xfId="1" applyNumberFormat="1" applyFont="1" applyBorder="1"/>
    <xf numFmtId="0" fontId="37" fillId="0" borderId="0" xfId="1" applyFont="1"/>
    <xf numFmtId="2" fontId="32" fillId="0" borderId="30" xfId="1" applyNumberFormat="1" applyBorder="1"/>
    <xf numFmtId="2" fontId="32" fillId="0" borderId="34" xfId="1" applyNumberFormat="1" applyBorder="1"/>
    <xf numFmtId="167" fontId="32" fillId="0" borderId="3" xfId="1" applyNumberFormat="1" applyFont="1" applyBorder="1"/>
    <xf numFmtId="167" fontId="32" fillId="0" borderId="60" xfId="1" applyNumberFormat="1" applyFont="1" applyBorder="1"/>
    <xf numFmtId="0" fontId="32" fillId="0" borderId="63" xfId="1" applyFont="1" applyBorder="1"/>
    <xf numFmtId="2" fontId="32" fillId="0" borderId="63" xfId="1" applyNumberFormat="1" applyBorder="1"/>
    <xf numFmtId="2" fontId="32" fillId="0" borderId="3" xfId="1" applyNumberFormat="1" applyBorder="1"/>
    <xf numFmtId="2" fontId="32" fillId="0" borderId="60" xfId="1" applyNumberFormat="1" applyBorder="1"/>
    <xf numFmtId="0" fontId="32" fillId="0" borderId="61" xfId="1" applyFont="1" applyBorder="1"/>
    <xf numFmtId="2" fontId="32" fillId="0" borderId="61" xfId="1" applyNumberFormat="1" applyBorder="1"/>
    <xf numFmtId="2" fontId="32" fillId="0" borderId="0" xfId="1" applyNumberFormat="1" applyBorder="1"/>
    <xf numFmtId="2" fontId="32" fillId="0" borderId="49" xfId="1" applyNumberFormat="1" applyBorder="1"/>
    <xf numFmtId="0" fontId="37" fillId="0" borderId="61" xfId="1" applyFont="1" applyBorder="1"/>
    <xf numFmtId="2" fontId="32" fillId="0" borderId="52" xfId="1" applyNumberFormat="1" applyBorder="1"/>
    <xf numFmtId="2" fontId="32" fillId="0" borderId="53" xfId="1" applyNumberFormat="1" applyBorder="1"/>
    <xf numFmtId="167" fontId="32" fillId="0" borderId="52" xfId="1" applyNumberFormat="1" applyFont="1" applyBorder="1"/>
    <xf numFmtId="167" fontId="32" fillId="0" borderId="53" xfId="1" applyNumberFormat="1" applyFont="1" applyBorder="1"/>
    <xf numFmtId="2" fontId="32" fillId="0" borderId="0" xfId="1" applyNumberFormat="1"/>
    <xf numFmtId="2" fontId="37" fillId="0" borderId="57" xfId="1" applyNumberFormat="1" applyFont="1" applyBorder="1"/>
    <xf numFmtId="2" fontId="37" fillId="0" borderId="54" xfId="1" applyNumberFormat="1" applyFont="1" applyBorder="1"/>
    <xf numFmtId="0" fontId="37" fillId="0" borderId="63" xfId="1" applyFont="1" applyBorder="1"/>
    <xf numFmtId="2" fontId="32" fillId="0" borderId="64" xfId="1" applyNumberFormat="1" applyBorder="1"/>
    <xf numFmtId="2" fontId="32" fillId="0" borderId="65" xfId="1" applyNumberFormat="1" applyBorder="1"/>
    <xf numFmtId="0" fontId="32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EA4A4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fold change per T3/TRIAC concentration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'[2]Cumulative fold change'!$Y$32</c:f>
              <c:strCache>
                <c:ptCount val="1"/>
                <c:pt idx="0">
                  <c:v>63.1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'[2]Cumulative fold change'!$U$54:$W$54</c:f>
                <c:numCache>
                  <c:formatCode>General</c:formatCode>
                  <c:ptCount val="3"/>
                  <c:pt idx="0">
                    <c:v>0.45664593075006038</c:v>
                  </c:pt>
                  <c:pt idx="1">
                    <c:v>0.39113320659952733</c:v>
                  </c:pt>
                  <c:pt idx="2">
                    <c:v>0.8506114055695323</c:v>
                  </c:pt>
                </c:numCache>
              </c:numRef>
            </c:plus>
            <c:minus>
              <c:numRef>
                <c:f>'[2]Cumulative fold change'!$U$54:$W$54</c:f>
                <c:numCache>
                  <c:formatCode>General</c:formatCode>
                  <c:ptCount val="3"/>
                  <c:pt idx="0">
                    <c:v>0.45664593075006038</c:v>
                  </c:pt>
                  <c:pt idx="1">
                    <c:v>0.39113320659952733</c:v>
                  </c:pt>
                  <c:pt idx="2">
                    <c:v>0.8506114055695323</c:v>
                  </c:pt>
                </c:numCache>
              </c:numRef>
            </c:minus>
          </c:errBars>
          <c:cat>
            <c:strRef>
              <c:f>'[2]Cumulative fold change'!$Z$31:$AB$31</c:f>
              <c:strCache>
                <c:ptCount val="3"/>
                <c:pt idx="0">
                  <c:v>0 nM</c:v>
                </c:pt>
                <c:pt idx="1">
                  <c:v>10 nM T3</c:v>
                </c:pt>
                <c:pt idx="2">
                  <c:v>10 nM TA</c:v>
                </c:pt>
              </c:strCache>
            </c:strRef>
          </c:cat>
          <c:val>
            <c:numRef>
              <c:f>'[2]Cumulative fold change'!$Z$32:$AB$32</c:f>
              <c:numCache>
                <c:formatCode>General</c:formatCode>
                <c:ptCount val="3"/>
                <c:pt idx="0">
                  <c:v>1.2508401507593099</c:v>
                </c:pt>
                <c:pt idx="1">
                  <c:v>1.2650570120614069</c:v>
                </c:pt>
                <c:pt idx="2">
                  <c:v>0.78795864887040945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2-4CBC-A5D0-EF53BF0EF968}"/>
            </c:ext>
          </c:extLst>
        </c:ser>
        <c:ser>
          <c:idx val="1"/>
          <c:order val="1"/>
          <c:tx>
            <c:strRef>
              <c:f>'[2]Cumulative fold change'!$Y$33</c:f>
              <c:strCache>
                <c:ptCount val="1"/>
                <c:pt idx="0">
                  <c:v>63.1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'[2]Cumulative fold change'!$U$54:$W$54</c:f>
                <c:numCache>
                  <c:formatCode>General</c:formatCode>
                  <c:ptCount val="3"/>
                  <c:pt idx="0">
                    <c:v>0.45664593075006038</c:v>
                  </c:pt>
                  <c:pt idx="1">
                    <c:v>0.39113320659952733</c:v>
                  </c:pt>
                  <c:pt idx="2">
                    <c:v>0.8506114055695323</c:v>
                  </c:pt>
                </c:numCache>
              </c:numRef>
            </c:plus>
            <c:minus>
              <c:numRef>
                <c:f>'[2]Cumulative fold change'!$U$54:$W$54</c:f>
                <c:numCache>
                  <c:formatCode>General</c:formatCode>
                  <c:ptCount val="3"/>
                  <c:pt idx="0">
                    <c:v>0.45664593075006038</c:v>
                  </c:pt>
                  <c:pt idx="1">
                    <c:v>0.39113320659952733</c:v>
                  </c:pt>
                  <c:pt idx="2">
                    <c:v>0.8506114055695323</c:v>
                  </c:pt>
                </c:numCache>
              </c:numRef>
            </c:minus>
          </c:errBars>
          <c:cat>
            <c:strRef>
              <c:f>'[2]Cumulative fold change'!$Z$31:$AB$31</c:f>
              <c:strCache>
                <c:ptCount val="3"/>
                <c:pt idx="0">
                  <c:v>0 nM</c:v>
                </c:pt>
                <c:pt idx="1">
                  <c:v>10 nM T3</c:v>
                </c:pt>
                <c:pt idx="2">
                  <c:v>10 nM TA</c:v>
                </c:pt>
              </c:strCache>
            </c:strRef>
          </c:cat>
          <c:val>
            <c:numRef>
              <c:f>'[2]Cumulative fold change'!$Z$33:$AB$33</c:f>
              <c:numCache>
                <c:formatCode>General</c:formatCode>
                <c:ptCount val="3"/>
                <c:pt idx="0">
                  <c:v>0.79946266466819127</c:v>
                </c:pt>
                <c:pt idx="1">
                  <c:v>1.8561950138045902</c:v>
                </c:pt>
                <c:pt idx="2">
                  <c:v>1.813954177106379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2-4CBC-A5D0-EF53BF0EF968}"/>
            </c:ext>
          </c:extLst>
        </c:ser>
        <c:ser>
          <c:idx val="2"/>
          <c:order val="2"/>
          <c:tx>
            <c:strRef>
              <c:f>'[2]Cumulative fold change'!$Y$34</c:f>
              <c:strCache>
                <c:ptCount val="1"/>
                <c:pt idx="0">
                  <c:v>107.1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'[2]Cumulative fold change'!$U$55:$W$55</c:f>
                <c:numCache>
                  <c:formatCode>General</c:formatCode>
                  <c:ptCount val="3"/>
                  <c:pt idx="0">
                    <c:v>0.48503402485828262</c:v>
                  </c:pt>
                  <c:pt idx="1">
                    <c:v>0.26726946318900413</c:v>
                  </c:pt>
                  <c:pt idx="2">
                    <c:v>0.4417262835520045</c:v>
                  </c:pt>
                </c:numCache>
              </c:numRef>
            </c:plus>
            <c:minus>
              <c:numRef>
                <c:f>'[2]Cumulative fold change'!$U$55:$W$55</c:f>
                <c:numCache>
                  <c:formatCode>General</c:formatCode>
                  <c:ptCount val="3"/>
                  <c:pt idx="0">
                    <c:v>0.48503402485828262</c:v>
                  </c:pt>
                  <c:pt idx="1">
                    <c:v>0.26726946318900413</c:v>
                  </c:pt>
                  <c:pt idx="2">
                    <c:v>0.4417262835520045</c:v>
                  </c:pt>
                </c:numCache>
              </c:numRef>
            </c:minus>
          </c:errBars>
          <c:cat>
            <c:strRef>
              <c:f>'[2]Cumulative fold change'!$Z$31:$AB$31</c:f>
              <c:strCache>
                <c:ptCount val="3"/>
                <c:pt idx="0">
                  <c:v>0 nM</c:v>
                </c:pt>
                <c:pt idx="1">
                  <c:v>10 nM T3</c:v>
                </c:pt>
                <c:pt idx="2">
                  <c:v>10 nM TA</c:v>
                </c:pt>
              </c:strCache>
            </c:strRef>
          </c:cat>
          <c:val>
            <c:numRef>
              <c:f>'[2]Cumulative fold change'!$Z$34:$AB$34</c:f>
              <c:numCache>
                <c:formatCode>General</c:formatCode>
                <c:ptCount val="3"/>
                <c:pt idx="0">
                  <c:v>0.78841610507953919</c:v>
                </c:pt>
                <c:pt idx="1">
                  <c:v>22.263680379640942</c:v>
                </c:pt>
                <c:pt idx="2">
                  <c:v>24.758243098456873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12-4CBC-A5D0-EF53BF0EF968}"/>
            </c:ext>
          </c:extLst>
        </c:ser>
        <c:ser>
          <c:idx val="3"/>
          <c:order val="3"/>
          <c:tx>
            <c:strRef>
              <c:f>'[2]Cumulative fold change'!$Y$35</c:f>
              <c:strCache>
                <c:ptCount val="1"/>
                <c:pt idx="0">
                  <c:v>107.1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'[2]Cumulative fold change'!$U$55:$W$55</c:f>
                <c:numCache>
                  <c:formatCode>General</c:formatCode>
                  <c:ptCount val="3"/>
                  <c:pt idx="0">
                    <c:v>0.48503402485828262</c:v>
                  </c:pt>
                  <c:pt idx="1">
                    <c:v>0.26726946318900413</c:v>
                  </c:pt>
                  <c:pt idx="2">
                    <c:v>0.4417262835520045</c:v>
                  </c:pt>
                </c:numCache>
              </c:numRef>
            </c:plus>
            <c:minus>
              <c:numRef>
                <c:f>'[2]Cumulative fold change'!$U$55:$W$55</c:f>
                <c:numCache>
                  <c:formatCode>General</c:formatCode>
                  <c:ptCount val="3"/>
                  <c:pt idx="0">
                    <c:v>0.48503402485828262</c:v>
                  </c:pt>
                  <c:pt idx="1">
                    <c:v>0.26726946318900413</c:v>
                  </c:pt>
                  <c:pt idx="2">
                    <c:v>0.4417262835520045</c:v>
                  </c:pt>
                </c:numCache>
              </c:numRef>
            </c:minus>
          </c:errBars>
          <c:cat>
            <c:strRef>
              <c:f>'[2]Cumulative fold change'!$Z$31:$AB$31</c:f>
              <c:strCache>
                <c:ptCount val="3"/>
                <c:pt idx="0">
                  <c:v>0 nM</c:v>
                </c:pt>
                <c:pt idx="1">
                  <c:v>10 nM T3</c:v>
                </c:pt>
                <c:pt idx="2">
                  <c:v>10 nM TA</c:v>
                </c:pt>
              </c:strCache>
            </c:strRef>
          </c:cat>
          <c:val>
            <c:numRef>
              <c:f>'[2]Cumulative fold change'!$Z$35:$AB$35</c:f>
              <c:numCache>
                <c:formatCode>General</c:formatCode>
                <c:ptCount val="3"/>
                <c:pt idx="0">
                  <c:v>1.2683657697468207</c:v>
                </c:pt>
                <c:pt idx="1">
                  <c:v>17.132266244465995</c:v>
                </c:pt>
                <c:pt idx="2">
                  <c:v>16.057125403154412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12-4CBC-A5D0-EF53BF0EF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243368"/>
        <c:axId val="1"/>
      </c:barChart>
      <c:catAx>
        <c:axId val="487243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T3/TRIAC conc. (nM)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Fold change 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4872433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1333500</xdr:colOff>
      <xdr:row>144</xdr:row>
      <xdr:rowOff>81642</xdr:rowOff>
    </xdr:from>
    <xdr:to>
      <xdr:col>4</xdr:col>
      <xdr:colOff>95250</xdr:colOff>
      <xdr:row>145</xdr:row>
      <xdr:rowOff>149678</xdr:rowOff>
    </xdr:to>
    <xdr:sp macro="" textlink="">
      <xdr:nvSpPr>
        <xdr:cNvPr id="2" name="Right Brace 1"/>
        <xdr:cNvSpPr/>
      </xdr:nvSpPr>
      <xdr:spPr>
        <a:xfrm>
          <a:off x="3162300" y="28218492"/>
          <a:ext cx="152400" cy="268061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31</xdr:row>
      <xdr:rowOff>0</xdr:rowOff>
    </xdr:from>
    <xdr:to>
      <xdr:col>5</xdr:col>
      <xdr:colOff>600075</xdr:colOff>
      <xdr:row>36</xdr:row>
      <xdr:rowOff>19050</xdr:rowOff>
    </xdr:to>
    <xdr:cxnSp macro="">
      <xdr:nvCxnSpPr>
        <xdr:cNvPr id="2" name="Straight Arrow Connector 1"/>
        <xdr:cNvCxnSpPr/>
      </xdr:nvCxnSpPr>
      <xdr:spPr>
        <a:xfrm>
          <a:off x="3219450" y="6019800"/>
          <a:ext cx="590550" cy="9810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179294</xdr:rowOff>
    </xdr:from>
    <xdr:to>
      <xdr:col>5</xdr:col>
      <xdr:colOff>593912</xdr:colOff>
      <xdr:row>41</xdr:row>
      <xdr:rowOff>180978</xdr:rowOff>
    </xdr:to>
    <xdr:cxnSp macro="">
      <xdr:nvCxnSpPr>
        <xdr:cNvPr id="3" name="Straight Arrow Connector 2"/>
        <xdr:cNvCxnSpPr/>
      </xdr:nvCxnSpPr>
      <xdr:spPr>
        <a:xfrm flipV="1">
          <a:off x="3209925" y="6970619"/>
          <a:ext cx="593912" cy="116373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55</xdr:row>
      <xdr:rowOff>9525</xdr:rowOff>
    </xdr:from>
    <xdr:to>
      <xdr:col>6</xdr:col>
      <xdr:colOff>9525</xdr:colOff>
      <xdr:row>60</xdr:row>
      <xdr:rowOff>19050</xdr:rowOff>
    </xdr:to>
    <xdr:cxnSp macro="">
      <xdr:nvCxnSpPr>
        <xdr:cNvPr id="4" name="Straight Arrow Connector 3"/>
        <xdr:cNvCxnSpPr/>
      </xdr:nvCxnSpPr>
      <xdr:spPr>
        <a:xfrm>
          <a:off x="3209925" y="10734675"/>
          <a:ext cx="619125" cy="9810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5</xdr:col>
      <xdr:colOff>593912</xdr:colOff>
      <xdr:row>65</xdr:row>
      <xdr:rowOff>180976</xdr:rowOff>
    </xdr:to>
    <xdr:cxnSp macro="">
      <xdr:nvCxnSpPr>
        <xdr:cNvPr id="5" name="Straight Arrow Connector 4"/>
        <xdr:cNvCxnSpPr/>
      </xdr:nvCxnSpPr>
      <xdr:spPr>
        <a:xfrm flipV="1">
          <a:off x="3209925" y="11696700"/>
          <a:ext cx="593912" cy="11620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36</xdr:row>
      <xdr:rowOff>114300</xdr:rowOff>
    </xdr:from>
    <xdr:to>
      <xdr:col>10</xdr:col>
      <xdr:colOff>565150</xdr:colOff>
      <xdr:row>36</xdr:row>
      <xdr:rowOff>114300</xdr:rowOff>
    </xdr:to>
    <xdr:cxnSp macro="">
      <xdr:nvCxnSpPr>
        <xdr:cNvPr id="6" name="Straight Arrow Connector 5"/>
        <xdr:cNvCxnSpPr/>
      </xdr:nvCxnSpPr>
      <xdr:spPr>
        <a:xfrm>
          <a:off x="6610350" y="7096125"/>
          <a:ext cx="5080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60</xdr:row>
      <xdr:rowOff>115981</xdr:rowOff>
    </xdr:from>
    <xdr:to>
      <xdr:col>10</xdr:col>
      <xdr:colOff>565150</xdr:colOff>
      <xdr:row>60</xdr:row>
      <xdr:rowOff>115981</xdr:rowOff>
    </xdr:to>
    <xdr:cxnSp macro="">
      <xdr:nvCxnSpPr>
        <xdr:cNvPr id="7" name="Straight Arrow Connector 6"/>
        <xdr:cNvCxnSpPr/>
      </xdr:nvCxnSpPr>
      <xdr:spPr>
        <a:xfrm>
          <a:off x="6610350" y="11812681"/>
          <a:ext cx="5080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43</xdr:row>
      <xdr:rowOff>179294</xdr:rowOff>
    </xdr:from>
    <xdr:to>
      <xdr:col>15</xdr:col>
      <xdr:colOff>593911</xdr:colOff>
      <xdr:row>48</xdr:row>
      <xdr:rowOff>11206</xdr:rowOff>
    </xdr:to>
    <xdr:cxnSp macro="">
      <xdr:nvCxnSpPr>
        <xdr:cNvPr id="8" name="Straight Arrow Connector 7"/>
        <xdr:cNvCxnSpPr/>
      </xdr:nvCxnSpPr>
      <xdr:spPr>
        <a:xfrm>
          <a:off x="9810750" y="8523194"/>
          <a:ext cx="593911" cy="8225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48</xdr:row>
      <xdr:rowOff>0</xdr:rowOff>
    </xdr:from>
    <xdr:to>
      <xdr:col>16</xdr:col>
      <xdr:colOff>0</xdr:colOff>
      <xdr:row>50</xdr:row>
      <xdr:rowOff>190501</xdr:rowOff>
    </xdr:to>
    <xdr:cxnSp macro="">
      <xdr:nvCxnSpPr>
        <xdr:cNvPr id="9" name="Straight Arrow Connector 8"/>
        <xdr:cNvCxnSpPr/>
      </xdr:nvCxnSpPr>
      <xdr:spPr>
        <a:xfrm flipV="1">
          <a:off x="9810750" y="9334500"/>
          <a:ext cx="609600" cy="5905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44824</xdr:colOff>
      <xdr:row>48</xdr:row>
      <xdr:rowOff>0</xdr:rowOff>
    </xdr:from>
    <xdr:to>
      <xdr:col>20</xdr:col>
      <xdr:colOff>552824</xdr:colOff>
      <xdr:row>48</xdr:row>
      <xdr:rowOff>0</xdr:rowOff>
    </xdr:to>
    <xdr:cxnSp macro="">
      <xdr:nvCxnSpPr>
        <xdr:cNvPr id="10" name="Straight Arrow Connector 9"/>
        <xdr:cNvCxnSpPr/>
      </xdr:nvCxnSpPr>
      <xdr:spPr>
        <a:xfrm>
          <a:off x="13141699" y="9334500"/>
          <a:ext cx="5080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67235</xdr:colOff>
      <xdr:row>47</xdr:row>
      <xdr:rowOff>190499</xdr:rowOff>
    </xdr:from>
    <xdr:to>
      <xdr:col>23</xdr:col>
      <xdr:colOff>575235</xdr:colOff>
      <xdr:row>47</xdr:row>
      <xdr:rowOff>190499</xdr:rowOff>
    </xdr:to>
    <xdr:cxnSp macro="">
      <xdr:nvCxnSpPr>
        <xdr:cNvPr id="11" name="Straight Arrow Connector 10"/>
        <xdr:cNvCxnSpPr/>
      </xdr:nvCxnSpPr>
      <xdr:spPr>
        <a:xfrm>
          <a:off x="14992910" y="9334499"/>
          <a:ext cx="5080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253251</xdr:colOff>
      <xdr:row>50</xdr:row>
      <xdr:rowOff>100852</xdr:rowOff>
    </xdr:from>
    <xdr:to>
      <xdr:col>26</xdr:col>
      <xdr:colOff>253253</xdr:colOff>
      <xdr:row>52</xdr:row>
      <xdr:rowOff>89646</xdr:rowOff>
    </xdr:to>
    <xdr:cxnSp macro="">
      <xdr:nvCxnSpPr>
        <xdr:cNvPr id="12" name="Straight Arrow Connector 11"/>
        <xdr:cNvCxnSpPr/>
      </xdr:nvCxnSpPr>
      <xdr:spPr>
        <a:xfrm>
          <a:off x="17007726" y="9835402"/>
          <a:ext cx="2" cy="3888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280147</xdr:colOff>
      <xdr:row>58</xdr:row>
      <xdr:rowOff>123265</xdr:rowOff>
    </xdr:from>
    <xdr:to>
      <xdr:col>26</xdr:col>
      <xdr:colOff>280149</xdr:colOff>
      <xdr:row>60</xdr:row>
      <xdr:rowOff>123265</xdr:rowOff>
    </xdr:to>
    <xdr:cxnSp macro="">
      <xdr:nvCxnSpPr>
        <xdr:cNvPr id="13" name="Straight Arrow Connector 12"/>
        <xdr:cNvCxnSpPr/>
      </xdr:nvCxnSpPr>
      <xdr:spPr>
        <a:xfrm>
          <a:off x="17034622" y="11429440"/>
          <a:ext cx="2" cy="390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302558</xdr:colOff>
      <xdr:row>53</xdr:row>
      <xdr:rowOff>11206</xdr:rowOff>
    </xdr:from>
    <xdr:to>
      <xdr:col>23</xdr:col>
      <xdr:colOff>473728</xdr:colOff>
      <xdr:row>67</xdr:row>
      <xdr:rowOff>20171</xdr:rowOff>
    </xdr:to>
    <xdr:graphicFrame macro="">
      <xdr:nvGraphicFramePr>
        <xdr:cNvPr id="1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age.erasmusmc.nl\m\MyDocs\090738\My%20Documents\Desktop\2022-11-16%20F107%20F63-1%20T3%20Triac%20response%20and%20AS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x/DATA/qPCR/Cumulative%20result%20qPCR%20Fer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 Setup"/>
      <sheetName val="Amplification Data"/>
      <sheetName val="Results"/>
      <sheetName val="Resultaten"/>
      <sheetName val="delta delta c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M7">
            <v>5.2320432662963867</v>
          </cell>
        </row>
        <row r="8">
          <cell r="M8">
            <v>4.8279294967651367</v>
          </cell>
        </row>
        <row r="15">
          <cell r="M15">
            <v>7.0057830810546875</v>
          </cell>
        </row>
        <row r="16">
          <cell r="M16">
            <v>6.8274545669555664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 (v1)"/>
      <sheetName val="Results (v2)"/>
      <sheetName val="Cumulative Efficiency"/>
      <sheetName val="Cumulative fold change"/>
    </sheetNames>
    <sheetDataSet>
      <sheetData sheetId="0"/>
      <sheetData sheetId="1"/>
      <sheetData sheetId="2"/>
      <sheetData sheetId="3">
        <row r="31">
          <cell r="Z31" t="str">
            <v>0 nM</v>
          </cell>
          <cell r="AA31" t="str">
            <v>10 nM T3</v>
          </cell>
          <cell r="AB31" t="str">
            <v>10 nM TA</v>
          </cell>
        </row>
        <row r="32">
          <cell r="Y32">
            <v>63.1</v>
          </cell>
          <cell r="Z32">
            <v>1.2508401507593099</v>
          </cell>
          <cell r="AA32">
            <v>1.2650570120614069</v>
          </cell>
          <cell r="AB32">
            <v>0.78795864887040945</v>
          </cell>
        </row>
        <row r="33">
          <cell r="Y33">
            <v>63.1</v>
          </cell>
          <cell r="Z33">
            <v>0.79946266466819127</v>
          </cell>
          <cell r="AA33">
            <v>1.8561950138045902</v>
          </cell>
          <cell r="AB33">
            <v>1.813954177106379</v>
          </cell>
        </row>
        <row r="34">
          <cell r="Y34">
            <v>107.1</v>
          </cell>
          <cell r="Z34">
            <v>0.78841610507953919</v>
          </cell>
          <cell r="AA34">
            <v>22.263680379640942</v>
          </cell>
          <cell r="AB34">
            <v>24.758243098456873</v>
          </cell>
        </row>
        <row r="35">
          <cell r="Y35">
            <v>107.1</v>
          </cell>
          <cell r="Z35">
            <v>1.2683657697468207</v>
          </cell>
          <cell r="AA35">
            <v>17.132266244465995</v>
          </cell>
          <cell r="AB35">
            <v>16.057125403154412</v>
          </cell>
        </row>
        <row r="54">
          <cell r="U54">
            <v>0.45664593075006038</v>
          </cell>
          <cell r="V54">
            <v>0.39113320659952733</v>
          </cell>
          <cell r="W54">
            <v>0.8506114055695323</v>
          </cell>
        </row>
        <row r="55">
          <cell r="U55">
            <v>0.48503402485828262</v>
          </cell>
          <cell r="V55">
            <v>0.26726946318900413</v>
          </cell>
          <cell r="W55">
            <v>0.4417262835520045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AD150"/>
  <sheetViews>
    <sheetView topLeftCell="A100" zoomScale="70" zoomScaleNormal="70" workbookViewId="0">
      <selection activeCell="M137" sqref="M137"/>
    </sheetView>
  </sheetViews>
  <sheetFormatPr defaultRowHeight="15" x14ac:dyDescent="0.25"/>
  <cols>
    <col min="3" max="3" width="9.140625" customWidth="1"/>
    <col min="4" max="4" width="20.85546875" customWidth="1"/>
    <col min="5" max="5" width="27.7109375" customWidth="1"/>
    <col min="6" max="6" width="16.85546875" bestFit="1" customWidth="1"/>
    <col min="7" max="7" width="10.28515625" customWidth="1"/>
    <col min="8" max="8" width="12.28515625" bestFit="1" customWidth="1"/>
    <col min="9" max="9" width="12.5703125" bestFit="1" customWidth="1"/>
    <col min="10" max="10" width="17.42578125" bestFit="1" customWidth="1"/>
    <col min="11" max="11" width="14.5703125" bestFit="1" customWidth="1"/>
    <col min="12" max="12" width="12.140625" bestFit="1" customWidth="1"/>
    <col min="13" max="13" width="22" bestFit="1" customWidth="1"/>
    <col min="14" max="14" width="10" bestFit="1" customWidth="1"/>
  </cols>
  <sheetData>
    <row r="1" spans="4:15" ht="15.75" thickBot="1" x14ac:dyDescent="0.3"/>
    <row r="2" spans="4:15" x14ac:dyDescent="0.25">
      <c r="D2" s="223" t="s">
        <v>147</v>
      </c>
      <c r="E2" s="224"/>
      <c r="F2" s="224"/>
      <c r="G2" s="224"/>
      <c r="H2" s="224"/>
      <c r="I2" s="224"/>
      <c r="J2" s="224"/>
      <c r="K2" s="224"/>
      <c r="L2" s="224"/>
      <c r="M2" s="224"/>
      <c r="N2" s="225"/>
    </row>
    <row r="3" spans="4:15" x14ac:dyDescent="0.25">
      <c r="D3" s="226"/>
      <c r="E3" s="227"/>
      <c r="F3" s="227"/>
      <c r="G3" s="227"/>
      <c r="H3" s="227"/>
      <c r="I3" s="227"/>
      <c r="J3" s="227"/>
      <c r="K3" s="227"/>
      <c r="L3" s="227"/>
      <c r="M3" s="227"/>
      <c r="N3" s="228"/>
    </row>
    <row r="4" spans="4:15" x14ac:dyDescent="0.25">
      <c r="D4" s="226" t="s">
        <v>148</v>
      </c>
      <c r="E4" s="227"/>
      <c r="F4" s="227"/>
      <c r="G4" s="227"/>
      <c r="H4" s="227"/>
      <c r="I4" s="227"/>
      <c r="J4" s="227"/>
      <c r="K4" s="227"/>
      <c r="L4" s="227"/>
      <c r="M4" s="227"/>
      <c r="N4" s="228"/>
    </row>
    <row r="5" spans="4:15" ht="15.75" x14ac:dyDescent="0.25">
      <c r="D5" s="226" t="s">
        <v>149</v>
      </c>
      <c r="E5" s="229" t="s">
        <v>2</v>
      </c>
      <c r="F5" s="227"/>
      <c r="G5" s="227"/>
      <c r="H5" s="227"/>
      <c r="I5" s="227"/>
      <c r="J5" s="227"/>
      <c r="K5" s="227"/>
      <c r="L5" s="227"/>
      <c r="M5" s="227"/>
      <c r="N5" s="228"/>
    </row>
    <row r="6" spans="4:15" ht="15.75" thickBot="1" x14ac:dyDescent="0.3">
      <c r="D6" s="226"/>
      <c r="E6" s="227"/>
      <c r="F6" s="227"/>
      <c r="G6" s="227"/>
      <c r="H6" s="227"/>
      <c r="I6" s="227"/>
      <c r="J6" s="227"/>
      <c r="K6" s="227"/>
      <c r="L6" s="227"/>
      <c r="M6" s="227"/>
      <c r="N6" s="228"/>
    </row>
    <row r="7" spans="4:15" ht="16.5" thickTop="1" thickBot="1" x14ac:dyDescent="0.3">
      <c r="D7" s="226" t="s">
        <v>150</v>
      </c>
      <c r="E7" s="227"/>
      <c r="F7" s="189">
        <v>16</v>
      </c>
      <c r="G7" s="227"/>
      <c r="H7" s="227" t="s">
        <v>160</v>
      </c>
      <c r="I7" s="227"/>
      <c r="J7" s="189">
        <v>1000</v>
      </c>
      <c r="K7" s="227" t="s">
        <v>66</v>
      </c>
      <c r="L7" s="227"/>
      <c r="M7" s="227"/>
      <c r="N7" s="228"/>
    </row>
    <row r="8" spans="4:15" ht="15.75" thickTop="1" x14ac:dyDescent="0.25">
      <c r="D8" s="226"/>
      <c r="E8" s="227"/>
      <c r="F8" s="227"/>
      <c r="G8" s="227"/>
      <c r="H8" s="227"/>
      <c r="I8" s="227"/>
      <c r="J8" s="227"/>
      <c r="K8" s="227"/>
      <c r="L8" s="227"/>
      <c r="M8" s="227"/>
      <c r="N8" s="228"/>
    </row>
    <row r="9" spans="4:15" ht="15.75" x14ac:dyDescent="0.25">
      <c r="D9" s="276" t="s">
        <v>153</v>
      </c>
      <c r="E9" s="277"/>
      <c r="F9" s="186" t="s">
        <v>152</v>
      </c>
      <c r="G9" s="182" t="s">
        <v>91</v>
      </c>
      <c r="H9" s="274" t="s">
        <v>48</v>
      </c>
      <c r="I9" s="275"/>
      <c r="J9" s="275"/>
      <c r="K9" s="275"/>
      <c r="L9" s="278" t="s">
        <v>154</v>
      </c>
      <c r="M9" s="277"/>
      <c r="N9" s="230" t="s">
        <v>155</v>
      </c>
      <c r="O9" s="187"/>
    </row>
    <row r="10" spans="4:15" ht="15.75" x14ac:dyDescent="0.25">
      <c r="D10" s="231" t="s">
        <v>146</v>
      </c>
      <c r="E10" s="186" t="s">
        <v>151</v>
      </c>
      <c r="F10" s="186" t="s">
        <v>5</v>
      </c>
      <c r="G10" s="182" t="s">
        <v>6</v>
      </c>
      <c r="H10" s="182" t="s">
        <v>47</v>
      </c>
      <c r="I10" s="182" t="s">
        <v>157</v>
      </c>
      <c r="J10" s="182" t="s">
        <v>158</v>
      </c>
      <c r="K10" s="188" t="s">
        <v>45</v>
      </c>
      <c r="L10" s="182" t="s">
        <v>159</v>
      </c>
      <c r="M10" s="182" t="s">
        <v>8</v>
      </c>
      <c r="N10" s="232" t="s">
        <v>156</v>
      </c>
      <c r="O10" s="187"/>
    </row>
    <row r="11" spans="4:15" ht="15.75" x14ac:dyDescent="0.25">
      <c r="D11" s="231">
        <v>1</v>
      </c>
      <c r="E11" s="255"/>
      <c r="F11" s="255"/>
      <c r="G11" s="183" t="e">
        <f>$J$7/F11</f>
        <v>#DIV/0!</v>
      </c>
      <c r="H11" s="184">
        <v>2.2000000000000002</v>
      </c>
      <c r="I11" s="184">
        <v>1.1000000000000001</v>
      </c>
      <c r="J11" s="184">
        <v>2.2000000000000002</v>
      </c>
      <c r="K11" s="183" t="e">
        <f>N11-M11-L11-J11-I11-H11-G11</f>
        <v>#DIV/0!</v>
      </c>
      <c r="L11" s="183">
        <v>1.1000000000000001</v>
      </c>
      <c r="M11" s="185">
        <v>2.2000000000000002</v>
      </c>
      <c r="N11" s="233">
        <v>25</v>
      </c>
      <c r="O11" s="187"/>
    </row>
    <row r="12" spans="4:15" ht="15.75" x14ac:dyDescent="0.25">
      <c r="D12" s="231">
        <v>2</v>
      </c>
      <c r="E12" s="255"/>
      <c r="F12" s="255"/>
      <c r="G12" s="183" t="e">
        <f t="shared" ref="G12:G27" si="0">$J$7/F12</f>
        <v>#DIV/0!</v>
      </c>
      <c r="H12" s="184">
        <v>2.2000000000000002</v>
      </c>
      <c r="I12" s="184">
        <v>1.1000000000000001</v>
      </c>
      <c r="J12" s="184">
        <v>2.2000000000000002</v>
      </c>
      <c r="K12" s="183" t="e">
        <f t="shared" ref="K12:K27" si="1">N12-M12-L12-J12-I12-H12-G12</f>
        <v>#DIV/0!</v>
      </c>
      <c r="L12" s="183">
        <v>1.1000000000000001</v>
      </c>
      <c r="M12" s="185">
        <v>2.2000000000000002</v>
      </c>
      <c r="N12" s="233">
        <v>25</v>
      </c>
      <c r="O12" s="187"/>
    </row>
    <row r="13" spans="4:15" ht="15.75" x14ac:dyDescent="0.25">
      <c r="D13" s="231">
        <v>3</v>
      </c>
      <c r="E13" s="255"/>
      <c r="F13" s="255"/>
      <c r="G13" s="183" t="e">
        <f t="shared" si="0"/>
        <v>#DIV/0!</v>
      </c>
      <c r="H13" s="184">
        <v>2.2000000000000002</v>
      </c>
      <c r="I13" s="184">
        <v>1.1000000000000001</v>
      </c>
      <c r="J13" s="184">
        <v>2.2000000000000002</v>
      </c>
      <c r="K13" s="183" t="e">
        <f t="shared" si="1"/>
        <v>#DIV/0!</v>
      </c>
      <c r="L13" s="183">
        <v>1.1000000000000001</v>
      </c>
      <c r="M13" s="185">
        <v>2.2000000000000002</v>
      </c>
      <c r="N13" s="233">
        <v>25</v>
      </c>
      <c r="O13" s="187"/>
    </row>
    <row r="14" spans="4:15" ht="15.75" x14ac:dyDescent="0.25">
      <c r="D14" s="231">
        <v>4</v>
      </c>
      <c r="E14" s="255"/>
      <c r="F14" s="255"/>
      <c r="G14" s="183" t="e">
        <f t="shared" si="0"/>
        <v>#DIV/0!</v>
      </c>
      <c r="H14" s="184">
        <v>2.2000000000000002</v>
      </c>
      <c r="I14" s="184">
        <v>1.1000000000000001</v>
      </c>
      <c r="J14" s="184">
        <v>2.2000000000000002</v>
      </c>
      <c r="K14" s="183" t="e">
        <f t="shared" si="1"/>
        <v>#DIV/0!</v>
      </c>
      <c r="L14" s="183">
        <v>1.1000000000000001</v>
      </c>
      <c r="M14" s="185">
        <v>2.2000000000000002</v>
      </c>
      <c r="N14" s="233">
        <v>25</v>
      </c>
      <c r="O14" s="187"/>
    </row>
    <row r="15" spans="4:15" ht="15.75" x14ac:dyDescent="0.25">
      <c r="D15" s="231">
        <v>5</v>
      </c>
      <c r="E15" s="255"/>
      <c r="F15" s="255"/>
      <c r="G15" s="183" t="e">
        <f t="shared" si="0"/>
        <v>#DIV/0!</v>
      </c>
      <c r="H15" s="184">
        <v>2.2000000000000002</v>
      </c>
      <c r="I15" s="184">
        <v>1.1000000000000001</v>
      </c>
      <c r="J15" s="184">
        <v>2.2000000000000002</v>
      </c>
      <c r="K15" s="183" t="e">
        <f t="shared" si="1"/>
        <v>#DIV/0!</v>
      </c>
      <c r="L15" s="183">
        <v>1.1000000000000001</v>
      </c>
      <c r="M15" s="185">
        <v>2.2000000000000002</v>
      </c>
      <c r="N15" s="233">
        <v>25</v>
      </c>
      <c r="O15" s="187"/>
    </row>
    <row r="16" spans="4:15" ht="15.75" x14ac:dyDescent="0.25">
      <c r="D16" s="231">
        <v>6</v>
      </c>
      <c r="E16" s="255"/>
      <c r="F16" s="255"/>
      <c r="G16" s="183" t="e">
        <f t="shared" si="0"/>
        <v>#DIV/0!</v>
      </c>
      <c r="H16" s="184">
        <v>2.2000000000000002</v>
      </c>
      <c r="I16" s="184">
        <v>1.1000000000000001</v>
      </c>
      <c r="J16" s="184">
        <v>2.2000000000000002</v>
      </c>
      <c r="K16" s="183" t="e">
        <f t="shared" si="1"/>
        <v>#DIV/0!</v>
      </c>
      <c r="L16" s="183">
        <v>1.1000000000000001</v>
      </c>
      <c r="M16" s="185">
        <v>2.2000000000000002</v>
      </c>
      <c r="N16" s="233">
        <v>25</v>
      </c>
      <c r="O16" s="187"/>
    </row>
    <row r="17" spans="4:15" ht="15.75" x14ac:dyDescent="0.25">
      <c r="D17" s="231">
        <v>7</v>
      </c>
      <c r="E17" s="255"/>
      <c r="F17" s="255"/>
      <c r="G17" s="183" t="e">
        <f t="shared" si="0"/>
        <v>#DIV/0!</v>
      </c>
      <c r="H17" s="184">
        <v>2.2000000000000002</v>
      </c>
      <c r="I17" s="184">
        <v>1.1000000000000001</v>
      </c>
      <c r="J17" s="184">
        <v>2.2000000000000002</v>
      </c>
      <c r="K17" s="183" t="e">
        <f t="shared" si="1"/>
        <v>#DIV/0!</v>
      </c>
      <c r="L17" s="183">
        <v>1.1000000000000001</v>
      </c>
      <c r="M17" s="185">
        <v>2.2000000000000002</v>
      </c>
      <c r="N17" s="233">
        <v>25</v>
      </c>
      <c r="O17" s="187"/>
    </row>
    <row r="18" spans="4:15" ht="15.75" x14ac:dyDescent="0.25">
      <c r="D18" s="231">
        <v>8</v>
      </c>
      <c r="E18" s="255"/>
      <c r="F18" s="255"/>
      <c r="G18" s="183" t="e">
        <f t="shared" si="0"/>
        <v>#DIV/0!</v>
      </c>
      <c r="H18" s="184">
        <v>2.2000000000000002</v>
      </c>
      <c r="I18" s="184">
        <v>1.1000000000000001</v>
      </c>
      <c r="J18" s="184">
        <v>2.2000000000000002</v>
      </c>
      <c r="K18" s="183" t="e">
        <f t="shared" si="1"/>
        <v>#DIV/0!</v>
      </c>
      <c r="L18" s="183">
        <v>1.1000000000000001</v>
      </c>
      <c r="M18" s="185">
        <v>2.2000000000000002</v>
      </c>
      <c r="N18" s="233">
        <v>25</v>
      </c>
      <c r="O18" s="187"/>
    </row>
    <row r="19" spans="4:15" ht="15.75" x14ac:dyDescent="0.25">
      <c r="D19" s="231">
        <v>9</v>
      </c>
      <c r="E19" s="255"/>
      <c r="F19" s="255"/>
      <c r="G19" s="183" t="e">
        <f t="shared" si="0"/>
        <v>#DIV/0!</v>
      </c>
      <c r="H19" s="184">
        <v>2.2000000000000002</v>
      </c>
      <c r="I19" s="184">
        <v>1.1000000000000001</v>
      </c>
      <c r="J19" s="184">
        <v>2.2000000000000002</v>
      </c>
      <c r="K19" s="183" t="e">
        <f t="shared" si="1"/>
        <v>#DIV/0!</v>
      </c>
      <c r="L19" s="183">
        <v>1.1000000000000001</v>
      </c>
      <c r="M19" s="185">
        <v>2.2000000000000002</v>
      </c>
      <c r="N19" s="233">
        <v>25</v>
      </c>
      <c r="O19" s="187"/>
    </row>
    <row r="20" spans="4:15" ht="15.75" x14ac:dyDescent="0.25">
      <c r="D20" s="231">
        <v>10</v>
      </c>
      <c r="E20" s="255"/>
      <c r="F20" s="255"/>
      <c r="G20" s="183" t="e">
        <f t="shared" si="0"/>
        <v>#DIV/0!</v>
      </c>
      <c r="H20" s="184">
        <v>2.2000000000000002</v>
      </c>
      <c r="I20" s="184">
        <v>1.1000000000000001</v>
      </c>
      <c r="J20" s="184">
        <v>2.2000000000000002</v>
      </c>
      <c r="K20" s="183" t="e">
        <f t="shared" si="1"/>
        <v>#DIV/0!</v>
      </c>
      <c r="L20" s="183">
        <v>1.1000000000000001</v>
      </c>
      <c r="M20" s="185">
        <v>2.2000000000000002</v>
      </c>
      <c r="N20" s="233">
        <v>25</v>
      </c>
      <c r="O20" s="187"/>
    </row>
    <row r="21" spans="4:15" ht="15.75" x14ac:dyDescent="0.25">
      <c r="D21" s="231">
        <v>11</v>
      </c>
      <c r="E21" s="255"/>
      <c r="F21" s="255"/>
      <c r="G21" s="183" t="e">
        <f t="shared" si="0"/>
        <v>#DIV/0!</v>
      </c>
      <c r="H21" s="184">
        <v>2.2000000000000002</v>
      </c>
      <c r="I21" s="184">
        <v>1.1000000000000001</v>
      </c>
      <c r="J21" s="184">
        <v>2.2000000000000002</v>
      </c>
      <c r="K21" s="183" t="e">
        <f t="shared" si="1"/>
        <v>#DIV/0!</v>
      </c>
      <c r="L21" s="183">
        <v>1.1000000000000001</v>
      </c>
      <c r="M21" s="185">
        <v>2.2000000000000002</v>
      </c>
      <c r="N21" s="233">
        <v>25</v>
      </c>
      <c r="O21" s="187"/>
    </row>
    <row r="22" spans="4:15" ht="15.75" x14ac:dyDescent="0.25">
      <c r="D22" s="231">
        <v>12</v>
      </c>
      <c r="E22" s="255"/>
      <c r="F22" s="255"/>
      <c r="G22" s="183" t="e">
        <f t="shared" si="0"/>
        <v>#DIV/0!</v>
      </c>
      <c r="H22" s="184">
        <v>2.2000000000000002</v>
      </c>
      <c r="I22" s="184">
        <v>1.1000000000000001</v>
      </c>
      <c r="J22" s="184">
        <v>2.2000000000000002</v>
      </c>
      <c r="K22" s="183" t="e">
        <f t="shared" si="1"/>
        <v>#DIV/0!</v>
      </c>
      <c r="L22" s="183">
        <v>1.1000000000000001</v>
      </c>
      <c r="M22" s="185">
        <v>2.2000000000000002</v>
      </c>
      <c r="N22" s="233">
        <v>25</v>
      </c>
      <c r="O22" s="187"/>
    </row>
    <row r="23" spans="4:15" ht="15.75" x14ac:dyDescent="0.25">
      <c r="D23" s="231">
        <v>13</v>
      </c>
      <c r="E23" s="255"/>
      <c r="F23" s="255"/>
      <c r="G23" s="183" t="e">
        <f t="shared" si="0"/>
        <v>#DIV/0!</v>
      </c>
      <c r="H23" s="184">
        <v>2.2000000000000002</v>
      </c>
      <c r="I23" s="184">
        <v>1.1000000000000001</v>
      </c>
      <c r="J23" s="184">
        <v>2.2000000000000002</v>
      </c>
      <c r="K23" s="183" t="e">
        <f t="shared" si="1"/>
        <v>#DIV/0!</v>
      </c>
      <c r="L23" s="183">
        <v>1.1000000000000001</v>
      </c>
      <c r="M23" s="185">
        <v>2.2000000000000002</v>
      </c>
      <c r="N23" s="233">
        <v>25</v>
      </c>
      <c r="O23" s="187"/>
    </row>
    <row r="24" spans="4:15" ht="15.75" x14ac:dyDescent="0.25">
      <c r="D24" s="231">
        <v>14</v>
      </c>
      <c r="E24" s="255"/>
      <c r="F24" s="255"/>
      <c r="G24" s="183" t="e">
        <f t="shared" si="0"/>
        <v>#DIV/0!</v>
      </c>
      <c r="H24" s="184">
        <v>2.2000000000000002</v>
      </c>
      <c r="I24" s="184">
        <v>1.1000000000000001</v>
      </c>
      <c r="J24" s="184">
        <v>2.2000000000000002</v>
      </c>
      <c r="K24" s="183" t="e">
        <f t="shared" si="1"/>
        <v>#DIV/0!</v>
      </c>
      <c r="L24" s="183">
        <v>1.1000000000000001</v>
      </c>
      <c r="M24" s="185">
        <v>2.2000000000000002</v>
      </c>
      <c r="N24" s="233">
        <v>25</v>
      </c>
      <c r="O24" s="187"/>
    </row>
    <row r="25" spans="4:15" ht="15.75" x14ac:dyDescent="0.25">
      <c r="D25" s="231">
        <v>15</v>
      </c>
      <c r="E25" s="255"/>
      <c r="F25" s="255"/>
      <c r="G25" s="183" t="e">
        <f t="shared" si="0"/>
        <v>#DIV/0!</v>
      </c>
      <c r="H25" s="184">
        <v>2.2000000000000002</v>
      </c>
      <c r="I25" s="184">
        <v>1.1000000000000001</v>
      </c>
      <c r="J25" s="184">
        <v>2.2000000000000002</v>
      </c>
      <c r="K25" s="183" t="e">
        <f t="shared" si="1"/>
        <v>#DIV/0!</v>
      </c>
      <c r="L25" s="183">
        <v>1.1000000000000001</v>
      </c>
      <c r="M25" s="185">
        <v>2.2000000000000002</v>
      </c>
      <c r="N25" s="233">
        <v>25</v>
      </c>
      <c r="O25" s="187"/>
    </row>
    <row r="26" spans="4:15" ht="15.75" x14ac:dyDescent="0.25">
      <c r="D26" s="231">
        <v>16</v>
      </c>
      <c r="E26" s="255"/>
      <c r="F26" s="255"/>
      <c r="G26" s="183" t="e">
        <f t="shared" si="0"/>
        <v>#DIV/0!</v>
      </c>
      <c r="H26" s="184">
        <v>2.2000000000000002</v>
      </c>
      <c r="I26" s="184">
        <v>1.1000000000000001</v>
      </c>
      <c r="J26" s="184">
        <v>2.2000000000000002</v>
      </c>
      <c r="K26" s="183" t="e">
        <f t="shared" si="1"/>
        <v>#DIV/0!</v>
      </c>
      <c r="L26" s="183">
        <v>1.1000000000000001</v>
      </c>
      <c r="M26" s="185">
        <v>2.2000000000000002</v>
      </c>
      <c r="N26" s="233">
        <v>25</v>
      </c>
      <c r="O26" s="187"/>
    </row>
    <row r="27" spans="4:15" ht="15.75" x14ac:dyDescent="0.25">
      <c r="D27" s="231">
        <v>17</v>
      </c>
      <c r="E27" s="255"/>
      <c r="F27" s="255"/>
      <c r="G27" s="183" t="e">
        <f t="shared" si="0"/>
        <v>#DIV/0!</v>
      </c>
      <c r="H27" s="184">
        <v>2.2000000000000002</v>
      </c>
      <c r="I27" s="184">
        <v>1.1000000000000001</v>
      </c>
      <c r="J27" s="184">
        <v>2.2000000000000002</v>
      </c>
      <c r="K27" s="183" t="e">
        <f t="shared" si="1"/>
        <v>#DIV/0!</v>
      </c>
      <c r="L27" s="183">
        <v>1.1000000000000001</v>
      </c>
      <c r="M27" s="185">
        <v>2.2000000000000002</v>
      </c>
      <c r="N27" s="233">
        <v>25</v>
      </c>
      <c r="O27" s="187"/>
    </row>
    <row r="28" spans="4:15" x14ac:dyDescent="0.25">
      <c r="D28" s="226"/>
      <c r="E28" s="227"/>
      <c r="F28" s="227"/>
      <c r="G28" s="234"/>
      <c r="H28" s="234"/>
      <c r="I28" s="234"/>
      <c r="J28" s="234"/>
      <c r="K28" s="234"/>
      <c r="L28" s="234"/>
      <c r="M28" s="234"/>
      <c r="N28" s="235"/>
      <c r="O28" s="187"/>
    </row>
    <row r="29" spans="4:15" x14ac:dyDescent="0.25">
      <c r="D29" s="226" t="s">
        <v>161</v>
      </c>
      <c r="E29" s="227"/>
      <c r="F29" s="227"/>
      <c r="G29" s="227"/>
      <c r="H29" s="227"/>
      <c r="I29" s="227"/>
      <c r="J29" s="227"/>
      <c r="K29" s="227"/>
      <c r="L29" s="227"/>
      <c r="M29" s="227"/>
      <c r="N29" s="228"/>
    </row>
    <row r="30" spans="4:15" x14ac:dyDescent="0.25">
      <c r="D30" s="226" t="s">
        <v>162</v>
      </c>
      <c r="E30" s="236">
        <f>(F7*1.1)*2.2</f>
        <v>38.720000000000006</v>
      </c>
      <c r="F30" s="227" t="s">
        <v>163</v>
      </c>
      <c r="G30" s="236">
        <f>(F7*1.1)*1.1</f>
        <v>19.360000000000003</v>
      </c>
      <c r="H30" s="227" t="s">
        <v>164</v>
      </c>
      <c r="I30" s="236">
        <f>G30+E30</f>
        <v>58.080000000000013</v>
      </c>
      <c r="J30" s="227" t="s">
        <v>16</v>
      </c>
      <c r="K30" s="227"/>
      <c r="L30" s="227"/>
      <c r="M30" s="227"/>
      <c r="N30" s="228"/>
    </row>
    <row r="31" spans="4:15" x14ac:dyDescent="0.25">
      <c r="D31" s="226" t="s">
        <v>165</v>
      </c>
      <c r="E31" s="227"/>
      <c r="F31" s="227"/>
      <c r="G31" s="227"/>
      <c r="H31" s="227"/>
      <c r="I31" s="227"/>
      <c r="J31" s="227"/>
      <c r="K31" s="227"/>
      <c r="L31" s="227"/>
      <c r="M31" s="227"/>
      <c r="N31" s="228"/>
    </row>
    <row r="32" spans="4:15" x14ac:dyDescent="0.25">
      <c r="D32" s="226" t="s">
        <v>166</v>
      </c>
      <c r="E32" s="227"/>
      <c r="F32" s="227"/>
      <c r="G32" s="227"/>
      <c r="H32" s="227"/>
      <c r="I32" s="227"/>
      <c r="J32" s="227"/>
      <c r="K32" s="227"/>
      <c r="L32" s="227"/>
      <c r="M32" s="227"/>
      <c r="N32" s="228"/>
    </row>
    <row r="33" spans="4:14" x14ac:dyDescent="0.25">
      <c r="D33" s="226" t="s">
        <v>167</v>
      </c>
      <c r="E33" s="227"/>
      <c r="F33" s="227"/>
      <c r="G33" s="227"/>
      <c r="H33" s="227"/>
      <c r="I33" s="227"/>
      <c r="J33" s="227"/>
      <c r="K33" s="227"/>
      <c r="L33" s="227"/>
      <c r="M33" s="227"/>
      <c r="N33" s="228"/>
    </row>
    <row r="34" spans="4:14" x14ac:dyDescent="0.25">
      <c r="D34" s="226" t="s">
        <v>172</v>
      </c>
      <c r="E34" s="227"/>
      <c r="F34" s="227"/>
      <c r="G34" s="227"/>
      <c r="H34" s="227"/>
      <c r="I34" s="227"/>
      <c r="J34" s="227"/>
      <c r="K34" s="227"/>
      <c r="L34" s="227"/>
      <c r="M34" s="227"/>
      <c r="N34" s="228"/>
    </row>
    <row r="35" spans="4:14" x14ac:dyDescent="0.25">
      <c r="D35" s="226" t="s">
        <v>168</v>
      </c>
      <c r="E35" s="227"/>
      <c r="F35" s="227"/>
      <c r="G35" s="227"/>
      <c r="H35" s="227"/>
      <c r="I35" s="227"/>
      <c r="J35" s="227"/>
      <c r="K35" s="227"/>
      <c r="L35" s="227"/>
      <c r="M35" s="227"/>
      <c r="N35" s="228"/>
    </row>
    <row r="36" spans="4:14" x14ac:dyDescent="0.25">
      <c r="D36" s="226" t="s">
        <v>169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8"/>
    </row>
    <row r="37" spans="4:14" x14ac:dyDescent="0.25">
      <c r="D37" s="226" t="s">
        <v>170</v>
      </c>
      <c r="E37" s="227"/>
      <c r="F37" s="227"/>
      <c r="G37" s="227"/>
      <c r="H37" s="227"/>
      <c r="I37" s="227"/>
      <c r="J37" s="227"/>
      <c r="K37" s="227"/>
      <c r="L37" s="227"/>
      <c r="M37" s="227"/>
      <c r="N37" s="228"/>
    </row>
    <row r="38" spans="4:14" x14ac:dyDescent="0.25">
      <c r="D38" s="226"/>
      <c r="E38" s="227"/>
      <c r="F38" s="227"/>
      <c r="G38" s="227"/>
      <c r="H38" s="227"/>
      <c r="I38" s="227"/>
      <c r="J38" s="227"/>
      <c r="K38" s="227"/>
      <c r="L38" s="227"/>
      <c r="M38" s="227"/>
      <c r="N38" s="228"/>
    </row>
    <row r="39" spans="4:14" ht="16.5" thickBot="1" x14ac:dyDescent="0.3">
      <c r="D39" s="237" t="s">
        <v>38</v>
      </c>
      <c r="E39" s="238"/>
      <c r="F39" s="238"/>
      <c r="G39" s="238"/>
      <c r="H39" s="238"/>
      <c r="I39" s="238"/>
      <c r="J39" s="238"/>
      <c r="K39" s="238"/>
      <c r="L39" s="238"/>
      <c r="M39" s="227"/>
      <c r="N39" s="228"/>
    </row>
    <row r="40" spans="4:14" ht="15.75" x14ac:dyDescent="0.25">
      <c r="D40" s="197" t="s">
        <v>65</v>
      </c>
      <c r="E40" s="191" t="s">
        <v>13</v>
      </c>
      <c r="F40" s="191"/>
      <c r="G40" s="192" t="s">
        <v>171</v>
      </c>
      <c r="H40" s="193">
        <f>F7*1.1</f>
        <v>17.600000000000001</v>
      </c>
      <c r="I40" s="194"/>
      <c r="J40" s="227"/>
      <c r="K40" s="227"/>
      <c r="L40" s="227"/>
      <c r="M40" s="227"/>
      <c r="N40" s="228"/>
    </row>
    <row r="41" spans="4:14" ht="15.75" x14ac:dyDescent="0.25">
      <c r="D41" s="195" t="s">
        <v>15</v>
      </c>
      <c r="E41" s="188">
        <v>4</v>
      </c>
      <c r="F41" s="188" t="s">
        <v>16</v>
      </c>
      <c r="G41" s="188"/>
      <c r="H41" s="184">
        <f>E41*$H$40</f>
        <v>70.400000000000006</v>
      </c>
      <c r="I41" s="196" t="s">
        <v>16</v>
      </c>
      <c r="J41" s="227"/>
      <c r="K41" s="227"/>
      <c r="L41" s="227"/>
      <c r="M41" s="227"/>
      <c r="N41" s="228"/>
    </row>
    <row r="42" spans="4:14" ht="15.75" x14ac:dyDescent="0.25">
      <c r="D42" s="195" t="s">
        <v>17</v>
      </c>
      <c r="E42" s="188">
        <v>2</v>
      </c>
      <c r="F42" s="188" t="s">
        <v>16</v>
      </c>
      <c r="G42" s="188"/>
      <c r="H42" s="184">
        <f t="shared" ref="H42:H46" si="2">E42*$H$40</f>
        <v>35.200000000000003</v>
      </c>
      <c r="I42" s="196" t="s">
        <v>16</v>
      </c>
      <c r="J42" s="227"/>
      <c r="K42" s="227"/>
      <c r="L42" s="227"/>
      <c r="M42" s="227"/>
      <c r="N42" s="228"/>
    </row>
    <row r="43" spans="4:14" ht="15.75" x14ac:dyDescent="0.25">
      <c r="D43" s="195" t="s">
        <v>18</v>
      </c>
      <c r="E43" s="188">
        <v>0.5</v>
      </c>
      <c r="F43" s="188" t="s">
        <v>16</v>
      </c>
      <c r="G43" s="188"/>
      <c r="H43" s="184">
        <f t="shared" si="2"/>
        <v>8.8000000000000007</v>
      </c>
      <c r="I43" s="196" t="s">
        <v>16</v>
      </c>
      <c r="J43" s="227"/>
      <c r="K43" s="227"/>
      <c r="L43" s="227"/>
      <c r="M43" s="227"/>
      <c r="N43" s="228"/>
    </row>
    <row r="44" spans="4:14" ht="15.75" x14ac:dyDescent="0.25">
      <c r="D44" s="210" t="s">
        <v>19</v>
      </c>
      <c r="E44" s="188">
        <v>1.1000000000000001</v>
      </c>
      <c r="F44" s="188" t="s">
        <v>16</v>
      </c>
      <c r="G44" s="188"/>
      <c r="H44" s="184">
        <f t="shared" si="2"/>
        <v>19.360000000000003</v>
      </c>
      <c r="I44" s="196" t="s">
        <v>16</v>
      </c>
      <c r="J44" s="227"/>
      <c r="K44" s="227"/>
      <c r="L44" s="227"/>
      <c r="M44" s="227"/>
      <c r="N44" s="228"/>
    </row>
    <row r="45" spans="4:14" ht="16.5" thickBot="1" x14ac:dyDescent="0.3">
      <c r="D45" s="199" t="s">
        <v>20</v>
      </c>
      <c r="E45" s="200">
        <v>1</v>
      </c>
      <c r="F45" s="200" t="s">
        <v>16</v>
      </c>
      <c r="G45" s="201"/>
      <c r="H45" s="202">
        <f t="shared" si="2"/>
        <v>17.600000000000001</v>
      </c>
      <c r="I45" s="203" t="s">
        <v>16</v>
      </c>
      <c r="J45" s="227"/>
      <c r="K45" s="227"/>
      <c r="L45" s="227"/>
      <c r="M45" s="227"/>
      <c r="N45" s="228"/>
    </row>
    <row r="46" spans="4:14" ht="17.25" thickTop="1" thickBot="1" x14ac:dyDescent="0.3">
      <c r="D46" s="239" t="s">
        <v>21</v>
      </c>
      <c r="E46" s="205">
        <f>SUM(E41:E45)</f>
        <v>8.6</v>
      </c>
      <c r="F46" s="206" t="s">
        <v>16</v>
      </c>
      <c r="G46" s="206"/>
      <c r="H46" s="207">
        <f t="shared" si="2"/>
        <v>151.36000000000001</v>
      </c>
      <c r="I46" s="208"/>
      <c r="J46" s="227"/>
      <c r="K46" s="227"/>
      <c r="L46" s="227"/>
      <c r="M46" s="227"/>
      <c r="N46" s="228"/>
    </row>
    <row r="47" spans="4:14" ht="15.75" thickTop="1" x14ac:dyDescent="0.25">
      <c r="D47" s="226"/>
      <c r="E47" s="227"/>
      <c r="F47" s="227"/>
      <c r="G47" s="227"/>
      <c r="H47" s="227"/>
      <c r="I47" s="227"/>
      <c r="J47" s="227"/>
      <c r="K47" s="227"/>
      <c r="L47" s="227"/>
      <c r="M47" s="227"/>
      <c r="N47" s="228"/>
    </row>
    <row r="48" spans="4:14" ht="15.75" thickBot="1" x14ac:dyDescent="0.3">
      <c r="D48" s="226"/>
      <c r="E48" s="227"/>
      <c r="F48" s="227"/>
      <c r="G48" s="227"/>
      <c r="H48" s="227"/>
      <c r="I48" s="227"/>
      <c r="J48" s="227"/>
      <c r="K48" s="227"/>
      <c r="L48" s="227"/>
      <c r="M48" s="227"/>
      <c r="N48" s="228"/>
    </row>
    <row r="49" spans="4:14" ht="15.75" x14ac:dyDescent="0.25">
      <c r="D49" s="198" t="s">
        <v>22</v>
      </c>
      <c r="E49" s="191" t="s">
        <v>13</v>
      </c>
      <c r="F49" s="191"/>
      <c r="G49" s="192" t="s">
        <v>171</v>
      </c>
      <c r="H49" s="193">
        <f>F7*1.1</f>
        <v>17.600000000000001</v>
      </c>
      <c r="I49" s="204"/>
      <c r="J49" s="227"/>
      <c r="K49" s="227"/>
      <c r="L49" s="227"/>
      <c r="M49" s="227"/>
      <c r="N49" s="228"/>
    </row>
    <row r="50" spans="4:14" ht="15.75" x14ac:dyDescent="0.25">
      <c r="D50" s="195" t="s">
        <v>15</v>
      </c>
      <c r="E50" s="188">
        <v>4</v>
      </c>
      <c r="F50" s="188" t="s">
        <v>16</v>
      </c>
      <c r="G50" s="188"/>
      <c r="H50" s="184">
        <f>E50*$H$49</f>
        <v>70.400000000000006</v>
      </c>
      <c r="I50" s="196" t="s">
        <v>16</v>
      </c>
      <c r="J50" s="227"/>
      <c r="K50" s="227"/>
      <c r="L50" s="227"/>
      <c r="M50" s="227"/>
      <c r="N50" s="228"/>
    </row>
    <row r="51" spans="4:14" ht="15.75" x14ac:dyDescent="0.25">
      <c r="D51" s="195" t="s">
        <v>17</v>
      </c>
      <c r="E51" s="188">
        <v>2</v>
      </c>
      <c r="F51" s="188" t="s">
        <v>16</v>
      </c>
      <c r="G51" s="188"/>
      <c r="H51" s="184">
        <f t="shared" ref="H51:H55" si="3">E51*$H$49</f>
        <v>35.200000000000003</v>
      </c>
      <c r="I51" s="196" t="s">
        <v>16</v>
      </c>
      <c r="J51" s="227"/>
      <c r="K51" s="227"/>
      <c r="L51" s="227"/>
      <c r="M51" s="227"/>
      <c r="N51" s="228"/>
    </row>
    <row r="52" spans="4:14" ht="15.75" x14ac:dyDescent="0.25">
      <c r="D52" s="195" t="s">
        <v>18</v>
      </c>
      <c r="E52" s="188">
        <v>0.5</v>
      </c>
      <c r="F52" s="188" t="s">
        <v>16</v>
      </c>
      <c r="G52" s="188"/>
      <c r="H52" s="184">
        <f t="shared" si="3"/>
        <v>8.8000000000000007</v>
      </c>
      <c r="I52" s="196" t="s">
        <v>16</v>
      </c>
      <c r="J52" s="227"/>
      <c r="K52" s="227"/>
      <c r="L52" s="227"/>
      <c r="M52" s="227"/>
      <c r="N52" s="228"/>
    </row>
    <row r="53" spans="4:14" ht="15.75" x14ac:dyDescent="0.25">
      <c r="D53" s="210" t="s">
        <v>23</v>
      </c>
      <c r="E53" s="188">
        <v>1.1000000000000001</v>
      </c>
      <c r="F53" s="188" t="s">
        <v>16</v>
      </c>
      <c r="G53" s="188"/>
      <c r="H53" s="184">
        <f t="shared" si="3"/>
        <v>19.360000000000003</v>
      </c>
      <c r="I53" s="196" t="s">
        <v>16</v>
      </c>
      <c r="J53" s="227"/>
      <c r="K53" s="227"/>
      <c r="L53" s="227"/>
      <c r="M53" s="227"/>
      <c r="N53" s="228"/>
    </row>
    <row r="54" spans="4:14" ht="16.5" thickBot="1" x14ac:dyDescent="0.3">
      <c r="D54" s="199" t="s">
        <v>20</v>
      </c>
      <c r="E54" s="200">
        <v>1</v>
      </c>
      <c r="F54" s="200" t="s">
        <v>16</v>
      </c>
      <c r="G54" s="201"/>
      <c r="H54" s="202">
        <f t="shared" si="3"/>
        <v>17.600000000000001</v>
      </c>
      <c r="I54" s="203" t="s">
        <v>16</v>
      </c>
      <c r="J54" s="227"/>
      <c r="K54" s="227"/>
      <c r="L54" s="227"/>
      <c r="M54" s="227"/>
      <c r="N54" s="228"/>
    </row>
    <row r="55" spans="4:14" ht="17.25" thickTop="1" thickBot="1" x14ac:dyDescent="0.3">
      <c r="D55" s="239" t="s">
        <v>21</v>
      </c>
      <c r="E55" s="205">
        <f>SUM(E50:E54)</f>
        <v>8.6</v>
      </c>
      <c r="F55" s="206" t="s">
        <v>16</v>
      </c>
      <c r="G55" s="206"/>
      <c r="H55" s="207">
        <f t="shared" si="3"/>
        <v>151.36000000000001</v>
      </c>
      <c r="I55" s="209"/>
      <c r="J55" s="227"/>
      <c r="K55" s="227"/>
      <c r="L55" s="227"/>
      <c r="M55" s="227"/>
      <c r="N55" s="228"/>
    </row>
    <row r="56" spans="4:14" ht="15.75" thickTop="1" x14ac:dyDescent="0.25">
      <c r="D56" s="226"/>
      <c r="E56" s="227"/>
      <c r="F56" s="227"/>
      <c r="G56" s="227"/>
      <c r="H56" s="227"/>
      <c r="I56" s="227"/>
      <c r="J56" s="227"/>
      <c r="K56" s="227"/>
      <c r="L56" s="227"/>
      <c r="M56" s="227"/>
      <c r="N56" s="228"/>
    </row>
    <row r="57" spans="4:14" x14ac:dyDescent="0.25">
      <c r="D57" s="226" t="s">
        <v>173</v>
      </c>
      <c r="E57" s="227"/>
      <c r="F57" s="227"/>
      <c r="G57" s="227"/>
      <c r="H57" s="227"/>
      <c r="I57" s="227"/>
      <c r="J57" s="227"/>
      <c r="K57" s="227"/>
      <c r="L57" s="227"/>
      <c r="M57" s="227"/>
      <c r="N57" s="228"/>
    </row>
    <row r="58" spans="4:14" x14ac:dyDescent="0.25">
      <c r="D58" s="226" t="s">
        <v>174</v>
      </c>
      <c r="E58" s="227"/>
      <c r="F58" s="227"/>
      <c r="G58" s="227"/>
      <c r="H58" s="227"/>
      <c r="I58" s="227"/>
      <c r="J58" s="227"/>
      <c r="K58" s="227"/>
      <c r="L58" s="227"/>
      <c r="M58" s="227"/>
      <c r="N58" s="228"/>
    </row>
    <row r="59" spans="4:14" x14ac:dyDescent="0.25">
      <c r="D59" s="226" t="s">
        <v>175</v>
      </c>
      <c r="E59" s="227"/>
      <c r="F59" s="227"/>
      <c r="G59" s="227"/>
      <c r="H59" s="227"/>
      <c r="I59" s="227"/>
      <c r="J59" s="227"/>
      <c r="K59" s="227"/>
      <c r="L59" s="227"/>
      <c r="M59" s="227"/>
      <c r="N59" s="228"/>
    </row>
    <row r="60" spans="4:14" x14ac:dyDescent="0.25">
      <c r="D60" s="226" t="s">
        <v>176</v>
      </c>
      <c r="E60" s="227"/>
      <c r="F60" s="227"/>
      <c r="G60" s="227"/>
      <c r="H60" s="227"/>
      <c r="I60" s="227"/>
      <c r="J60" s="227"/>
      <c r="K60" s="227"/>
      <c r="L60" s="227"/>
      <c r="M60" s="227"/>
      <c r="N60" s="228"/>
    </row>
    <row r="61" spans="4:14" x14ac:dyDescent="0.25">
      <c r="D61" s="226"/>
      <c r="E61" s="227"/>
      <c r="F61" s="227"/>
      <c r="G61" s="227"/>
      <c r="H61" s="227"/>
      <c r="I61" s="227"/>
      <c r="J61" s="227"/>
      <c r="K61" s="227"/>
      <c r="L61" s="227"/>
      <c r="M61" s="227"/>
      <c r="N61" s="228"/>
    </row>
    <row r="62" spans="4:14" ht="15.75" x14ac:dyDescent="0.25">
      <c r="D62" s="240" t="s">
        <v>26</v>
      </c>
      <c r="E62" s="227"/>
      <c r="F62" s="227"/>
      <c r="G62" s="227"/>
      <c r="H62" s="227"/>
      <c r="I62" s="227"/>
      <c r="J62" s="227"/>
      <c r="K62" s="227"/>
      <c r="L62" s="227"/>
      <c r="M62" s="227"/>
      <c r="N62" s="228"/>
    </row>
    <row r="63" spans="4:14" ht="15.75" x14ac:dyDescent="0.25">
      <c r="D63" s="240" t="s">
        <v>27</v>
      </c>
      <c r="E63" s="227"/>
      <c r="F63" s="227"/>
      <c r="G63" s="227"/>
      <c r="H63" s="227"/>
      <c r="I63" s="227"/>
      <c r="J63" s="227"/>
      <c r="K63" s="227"/>
      <c r="L63" s="227"/>
      <c r="M63" s="227"/>
      <c r="N63" s="228"/>
    </row>
    <row r="64" spans="4:14" ht="15.75" x14ac:dyDescent="0.25">
      <c r="D64" s="240" t="s">
        <v>177</v>
      </c>
      <c r="E64" s="227"/>
      <c r="F64" s="227"/>
      <c r="G64" s="227"/>
      <c r="H64" s="227"/>
      <c r="I64" s="227"/>
      <c r="J64" s="227"/>
      <c r="K64" s="227"/>
      <c r="L64" s="227"/>
      <c r="M64" s="227"/>
      <c r="N64" s="228"/>
    </row>
    <row r="65" spans="4:14" x14ac:dyDescent="0.25">
      <c r="D65" s="226"/>
      <c r="E65" s="227"/>
      <c r="F65" s="227"/>
      <c r="G65" s="227"/>
      <c r="H65" s="227"/>
      <c r="I65" s="227"/>
      <c r="J65" s="227"/>
      <c r="K65" s="227"/>
      <c r="L65" s="227"/>
      <c r="M65" s="227"/>
      <c r="N65" s="228"/>
    </row>
    <row r="66" spans="4:14" ht="15.75" thickBot="1" x14ac:dyDescent="0.3">
      <c r="D66" s="241" t="s">
        <v>178</v>
      </c>
      <c r="E66" s="242"/>
      <c r="F66" s="242"/>
      <c r="G66" s="242"/>
      <c r="H66" s="242"/>
      <c r="I66" s="242"/>
      <c r="J66" s="242"/>
      <c r="K66" s="242"/>
      <c r="L66" s="242"/>
      <c r="M66" s="242"/>
      <c r="N66" s="243"/>
    </row>
    <row r="67" spans="4:14" ht="15.75" thickBot="1" x14ac:dyDescent="0.3">
      <c r="D67" s="223"/>
      <c r="E67" s="224"/>
      <c r="F67" s="224"/>
      <c r="G67" s="224"/>
      <c r="H67" s="224"/>
      <c r="I67" s="224"/>
      <c r="J67" s="224"/>
      <c r="K67" s="224"/>
      <c r="L67" s="224"/>
      <c r="M67" s="224"/>
      <c r="N67" s="225"/>
    </row>
    <row r="68" spans="4:14" ht="15.75" thickBot="1" x14ac:dyDescent="0.3">
      <c r="D68" s="217" t="s">
        <v>126</v>
      </c>
      <c r="E68" s="227"/>
      <c r="F68" s="227"/>
      <c r="G68" s="227"/>
      <c r="H68" s="227"/>
      <c r="I68" s="227"/>
      <c r="J68" s="227"/>
      <c r="K68" s="227"/>
      <c r="L68" s="227"/>
      <c r="M68" s="227"/>
      <c r="N68" s="228"/>
    </row>
    <row r="69" spans="4:14" x14ac:dyDescent="0.25">
      <c r="D69" s="226" t="s">
        <v>306</v>
      </c>
      <c r="E69" s="227"/>
      <c r="F69" s="227"/>
      <c r="G69" s="236">
        <f>F7*8</f>
        <v>128</v>
      </c>
      <c r="H69" s="227" t="s">
        <v>307</v>
      </c>
      <c r="I69" s="227"/>
      <c r="J69" s="227"/>
      <c r="K69" s="227"/>
      <c r="L69" s="227"/>
      <c r="M69" s="227"/>
      <c r="N69" s="228"/>
    </row>
    <row r="70" spans="4:14" x14ac:dyDescent="0.25">
      <c r="D70" s="226" t="s">
        <v>308</v>
      </c>
      <c r="E70" s="236">
        <f>F7*3.4</f>
        <v>54.4</v>
      </c>
      <c r="F70" s="227" t="s">
        <v>309</v>
      </c>
      <c r="G70" s="227" t="s">
        <v>310</v>
      </c>
      <c r="H70" s="236">
        <f>G69+E70</f>
        <v>182.4</v>
      </c>
      <c r="I70" s="227" t="s">
        <v>311</v>
      </c>
      <c r="J70" s="227"/>
      <c r="K70" s="227"/>
      <c r="L70" s="227"/>
      <c r="M70" s="227"/>
      <c r="N70" s="228"/>
    </row>
    <row r="71" spans="4:14" x14ac:dyDescent="0.25">
      <c r="D71" s="226" t="s">
        <v>312</v>
      </c>
      <c r="E71" s="227"/>
      <c r="F71" s="227"/>
      <c r="G71" s="227"/>
      <c r="H71" s="227"/>
      <c r="I71" s="227"/>
      <c r="J71" s="227"/>
      <c r="K71" s="227"/>
      <c r="L71" s="227"/>
      <c r="M71" s="227"/>
      <c r="N71" s="228"/>
    </row>
    <row r="72" spans="4:14" x14ac:dyDescent="0.25">
      <c r="D72" s="226" t="s">
        <v>313</v>
      </c>
      <c r="E72" s="227"/>
      <c r="F72" s="227"/>
      <c r="G72" s="227"/>
      <c r="H72" s="227"/>
      <c r="I72" s="227"/>
      <c r="J72" s="227"/>
      <c r="K72" s="227"/>
      <c r="L72" s="227"/>
      <c r="M72" s="227"/>
      <c r="N72" s="228"/>
    </row>
    <row r="73" spans="4:14" x14ac:dyDescent="0.25">
      <c r="D73" s="226" t="s">
        <v>326</v>
      </c>
      <c r="E73" s="227"/>
      <c r="F73" s="227"/>
      <c r="G73" s="227"/>
      <c r="H73" s="227"/>
      <c r="I73" s="227"/>
      <c r="J73" s="227"/>
      <c r="K73" s="227"/>
      <c r="L73" s="227"/>
      <c r="M73" s="227"/>
      <c r="N73" s="228"/>
    </row>
    <row r="74" spans="4:14" x14ac:dyDescent="0.25">
      <c r="D74" s="226"/>
      <c r="E74" s="227"/>
      <c r="F74" s="227"/>
      <c r="G74" s="227"/>
      <c r="H74" s="227"/>
      <c r="I74" s="227"/>
      <c r="J74" s="227"/>
      <c r="K74" s="227"/>
      <c r="L74" s="227"/>
      <c r="M74" s="227"/>
      <c r="N74" s="228"/>
    </row>
    <row r="75" spans="4:14" x14ac:dyDescent="0.25">
      <c r="D75" s="244" t="s">
        <v>314</v>
      </c>
      <c r="E75" s="133" t="s">
        <v>320</v>
      </c>
      <c r="F75" s="227"/>
      <c r="G75" s="227"/>
      <c r="H75" s="227"/>
      <c r="I75" s="227"/>
      <c r="J75" s="227"/>
      <c r="K75" s="227"/>
      <c r="L75" s="227"/>
      <c r="M75" s="227"/>
      <c r="N75" s="228"/>
    </row>
    <row r="76" spans="4:14" x14ac:dyDescent="0.25">
      <c r="D76" s="244" t="s">
        <v>315</v>
      </c>
      <c r="E76" s="133" t="s">
        <v>321</v>
      </c>
      <c r="F76" s="227"/>
      <c r="G76" s="227"/>
      <c r="H76" s="227"/>
      <c r="I76" s="227"/>
      <c r="J76" s="227"/>
      <c r="K76" s="227"/>
      <c r="L76" s="227"/>
      <c r="M76" s="227"/>
      <c r="N76" s="228"/>
    </row>
    <row r="77" spans="4:14" x14ac:dyDescent="0.25">
      <c r="D77" s="244" t="s">
        <v>316</v>
      </c>
      <c r="E77" s="133" t="s">
        <v>322</v>
      </c>
      <c r="F77" s="227"/>
      <c r="G77" s="227"/>
      <c r="H77" s="227"/>
      <c r="I77" s="227"/>
      <c r="J77" s="227"/>
      <c r="K77" s="227"/>
      <c r="L77" s="227"/>
      <c r="M77" s="227"/>
      <c r="N77" s="228"/>
    </row>
    <row r="78" spans="4:14" x14ac:dyDescent="0.25">
      <c r="D78" s="245" t="s">
        <v>317</v>
      </c>
      <c r="E78" s="133" t="s">
        <v>323</v>
      </c>
      <c r="F78" s="227"/>
      <c r="G78" s="227"/>
      <c r="H78" s="227"/>
      <c r="I78" s="227"/>
      <c r="J78" s="227"/>
      <c r="K78" s="227"/>
      <c r="L78" s="227"/>
      <c r="M78" s="227"/>
      <c r="N78" s="228"/>
    </row>
    <row r="79" spans="4:14" x14ac:dyDescent="0.25">
      <c r="D79" s="244" t="s">
        <v>318</v>
      </c>
      <c r="E79" s="133" t="s">
        <v>324</v>
      </c>
      <c r="F79" s="227"/>
      <c r="G79" s="227"/>
      <c r="H79" s="227"/>
      <c r="I79" s="227"/>
      <c r="J79" s="227"/>
      <c r="K79" s="227"/>
      <c r="L79" s="227"/>
      <c r="M79" s="227"/>
      <c r="N79" s="228"/>
    </row>
    <row r="80" spans="4:14" x14ac:dyDescent="0.25">
      <c r="D80" s="244" t="s">
        <v>319</v>
      </c>
      <c r="E80" s="133" t="s">
        <v>325</v>
      </c>
      <c r="F80" s="227"/>
      <c r="G80" s="227"/>
      <c r="H80" s="227"/>
      <c r="I80" s="227"/>
      <c r="J80" s="227"/>
      <c r="K80" s="227"/>
      <c r="L80" s="227"/>
      <c r="M80" s="227"/>
      <c r="N80" s="228"/>
    </row>
    <row r="81" spans="4:30" x14ac:dyDescent="0.25">
      <c r="D81" s="279" t="s">
        <v>329</v>
      </c>
      <c r="E81" s="280"/>
      <c r="F81" s="227"/>
      <c r="G81" s="227"/>
      <c r="H81" s="227"/>
      <c r="I81" s="227"/>
      <c r="J81" s="227"/>
      <c r="K81" s="227"/>
      <c r="L81" s="227"/>
      <c r="M81" s="227"/>
      <c r="N81" s="228"/>
    </row>
    <row r="82" spans="4:30" x14ac:dyDescent="0.25">
      <c r="D82" s="226"/>
      <c r="E82" s="227"/>
      <c r="F82" s="227"/>
      <c r="G82" s="227"/>
      <c r="H82" s="227"/>
      <c r="I82" s="227"/>
      <c r="J82" s="227"/>
      <c r="K82" s="227"/>
      <c r="L82" s="227"/>
      <c r="M82" s="227"/>
      <c r="N82" s="228"/>
    </row>
    <row r="83" spans="4:30" ht="15.75" thickBot="1" x14ac:dyDescent="0.3">
      <c r="D83" s="226"/>
      <c r="E83" s="227"/>
      <c r="F83" s="227"/>
      <c r="G83" s="227"/>
      <c r="H83" s="227"/>
      <c r="I83" s="227"/>
      <c r="J83" s="227"/>
      <c r="K83" s="227"/>
      <c r="L83" s="227"/>
      <c r="M83" s="227"/>
      <c r="N83" s="228"/>
    </row>
    <row r="84" spans="4:30" ht="15.75" thickBot="1" x14ac:dyDescent="0.3">
      <c r="D84" s="218" t="s">
        <v>327</v>
      </c>
      <c r="E84" s="227"/>
      <c r="F84" s="227"/>
      <c r="G84" s="227"/>
      <c r="H84" s="227"/>
      <c r="I84" s="227"/>
      <c r="J84" s="227"/>
      <c r="K84" s="227"/>
      <c r="L84" s="227"/>
      <c r="M84" s="227"/>
      <c r="N84" s="228"/>
    </row>
    <row r="85" spans="4:30" x14ac:dyDescent="0.25">
      <c r="D85" s="226" t="s">
        <v>328</v>
      </c>
      <c r="E85" s="227"/>
      <c r="F85" s="227"/>
      <c r="G85" s="227"/>
      <c r="H85" s="227"/>
      <c r="I85" s="227"/>
      <c r="J85" s="227"/>
      <c r="K85" s="227"/>
      <c r="L85" s="227"/>
      <c r="M85" s="227"/>
      <c r="N85" s="228"/>
    </row>
    <row r="86" spans="4:30" x14ac:dyDescent="0.25">
      <c r="D86" s="279" t="s">
        <v>329</v>
      </c>
      <c r="E86" s="280"/>
      <c r="F86" s="227"/>
      <c r="G86" s="227"/>
      <c r="H86" s="227"/>
      <c r="I86" s="227"/>
      <c r="J86" s="227"/>
      <c r="K86" s="227"/>
      <c r="L86" s="227"/>
      <c r="M86" s="227"/>
      <c r="N86" s="228"/>
    </row>
    <row r="87" spans="4:30" ht="15.75" thickBot="1" x14ac:dyDescent="0.3">
      <c r="D87" s="226"/>
      <c r="E87" s="227"/>
      <c r="F87" s="227"/>
      <c r="G87" s="227"/>
      <c r="H87" s="227"/>
      <c r="I87" s="227"/>
      <c r="J87" s="227"/>
      <c r="K87" s="227"/>
      <c r="L87" s="227"/>
      <c r="M87" s="227"/>
      <c r="N87" s="228"/>
    </row>
    <row r="88" spans="4:30" ht="15.75" thickBot="1" x14ac:dyDescent="0.3">
      <c r="D88" s="218" t="s">
        <v>330</v>
      </c>
      <c r="E88" s="227"/>
      <c r="F88" s="227"/>
      <c r="G88" s="227"/>
      <c r="H88" s="227"/>
      <c r="I88" s="227"/>
      <c r="J88" s="227"/>
      <c r="K88" s="227"/>
      <c r="L88" s="227"/>
      <c r="M88" s="227"/>
      <c r="N88" s="228"/>
    </row>
    <row r="89" spans="4:30" x14ac:dyDescent="0.25">
      <c r="D89" s="226" t="s">
        <v>331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8"/>
    </row>
    <row r="90" spans="4:30" ht="15.75" thickBot="1" x14ac:dyDescent="0.3">
      <c r="D90" s="281" t="s">
        <v>332</v>
      </c>
      <c r="E90" s="282"/>
      <c r="F90" s="227"/>
      <c r="G90" s="227"/>
      <c r="H90" s="227"/>
      <c r="I90" s="227"/>
      <c r="J90" s="227"/>
      <c r="K90" s="227"/>
      <c r="L90" s="227"/>
      <c r="M90" s="227"/>
      <c r="N90" s="228"/>
    </row>
    <row r="91" spans="4:30" ht="15.75" thickBot="1" x14ac:dyDescent="0.3">
      <c r="D91" s="223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5"/>
    </row>
    <row r="92" spans="4:30" ht="15.75" thickBot="1" x14ac:dyDescent="0.3">
      <c r="D92" s="264" t="s">
        <v>334</v>
      </c>
      <c r="E92" s="265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8"/>
    </row>
    <row r="93" spans="4:30" ht="15.75" thickBot="1" x14ac:dyDescent="0.3">
      <c r="D93" s="226" t="s">
        <v>336</v>
      </c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8"/>
    </row>
    <row r="94" spans="4:30" x14ac:dyDescent="0.25">
      <c r="D94" s="226"/>
      <c r="E94" s="87"/>
      <c r="F94" s="42"/>
      <c r="G94" s="100">
        <v>1</v>
      </c>
      <c r="H94" s="101">
        <v>2</v>
      </c>
      <c r="I94" s="101">
        <v>3</v>
      </c>
      <c r="J94" s="101">
        <v>4</v>
      </c>
      <c r="K94" s="102">
        <v>5</v>
      </c>
      <c r="L94" s="103">
        <v>6</v>
      </c>
      <c r="M94" s="104">
        <v>7</v>
      </c>
      <c r="N94" s="105">
        <v>8</v>
      </c>
      <c r="O94" s="106">
        <v>9</v>
      </c>
      <c r="P94" s="107">
        <v>10</v>
      </c>
      <c r="Q94" s="107">
        <v>11</v>
      </c>
      <c r="R94" s="108">
        <v>12</v>
      </c>
      <c r="S94" s="107">
        <v>13</v>
      </c>
      <c r="T94" s="107">
        <v>14</v>
      </c>
      <c r="U94" s="108">
        <v>15</v>
      </c>
      <c r="V94" s="109">
        <v>16</v>
      </c>
      <c r="W94" s="106">
        <v>17</v>
      </c>
      <c r="X94" s="108">
        <v>18</v>
      </c>
      <c r="Y94" s="107">
        <v>19</v>
      </c>
      <c r="Z94" s="107">
        <v>20</v>
      </c>
      <c r="AA94" s="108">
        <v>21</v>
      </c>
      <c r="AB94" s="107">
        <v>22</v>
      </c>
      <c r="AC94" s="107">
        <v>23</v>
      </c>
      <c r="AD94" s="110">
        <v>24</v>
      </c>
    </row>
    <row r="95" spans="4:30" x14ac:dyDescent="0.25">
      <c r="D95" s="272" t="s">
        <v>139</v>
      </c>
      <c r="E95" s="131" t="s">
        <v>126</v>
      </c>
      <c r="F95" s="132" t="s">
        <v>29</v>
      </c>
      <c r="G95" s="165" t="s">
        <v>119</v>
      </c>
      <c r="H95" s="140" t="s">
        <v>119</v>
      </c>
      <c r="I95" s="140" t="s">
        <v>120</v>
      </c>
      <c r="J95" s="140" t="s">
        <v>120</v>
      </c>
      <c r="K95" s="140" t="s">
        <v>121</v>
      </c>
      <c r="L95" s="140" t="s">
        <v>121</v>
      </c>
      <c r="M95" s="140" t="s">
        <v>122</v>
      </c>
      <c r="N95" s="140" t="s">
        <v>122</v>
      </c>
      <c r="O95" s="140" t="s">
        <v>123</v>
      </c>
      <c r="P95" s="140" t="s">
        <v>123</v>
      </c>
      <c r="Q95" s="140" t="s">
        <v>124</v>
      </c>
      <c r="R95" s="140" t="s">
        <v>124</v>
      </c>
      <c r="S95" s="140" t="s">
        <v>125</v>
      </c>
      <c r="T95" s="140" t="s">
        <v>125</v>
      </c>
      <c r="U95" s="137"/>
      <c r="V95" s="137"/>
      <c r="W95" s="134"/>
      <c r="X95" s="137"/>
      <c r="Y95" s="134"/>
      <c r="Z95" s="137"/>
      <c r="AA95" s="134"/>
      <c r="AB95" s="137"/>
      <c r="AC95" s="134"/>
      <c r="AD95" s="146"/>
    </row>
    <row r="96" spans="4:30" x14ac:dyDescent="0.25">
      <c r="D96" s="272"/>
      <c r="E96" s="133" t="s">
        <v>127</v>
      </c>
      <c r="F96" s="130" t="s">
        <v>30</v>
      </c>
      <c r="G96" s="166" t="s">
        <v>128</v>
      </c>
      <c r="H96" s="141" t="s">
        <v>128</v>
      </c>
      <c r="I96" s="141" t="s">
        <v>128</v>
      </c>
      <c r="J96" s="141" t="s">
        <v>128</v>
      </c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4"/>
      <c r="X96" s="137"/>
      <c r="Y96" s="134"/>
      <c r="Z96" s="137"/>
      <c r="AA96" s="134"/>
      <c r="AB96" s="137"/>
      <c r="AC96" s="134"/>
      <c r="AD96" s="146"/>
    </row>
    <row r="97" spans="4:30" x14ac:dyDescent="0.25">
      <c r="D97" s="272"/>
      <c r="E97" s="138" t="s">
        <v>129</v>
      </c>
      <c r="F97" s="139" t="s">
        <v>31</v>
      </c>
      <c r="G97" s="167" t="s">
        <v>132</v>
      </c>
      <c r="H97" s="142" t="s">
        <v>133</v>
      </c>
      <c r="I97" s="142" t="s">
        <v>134</v>
      </c>
      <c r="J97" s="142" t="s">
        <v>135</v>
      </c>
      <c r="K97" s="142" t="s">
        <v>136</v>
      </c>
      <c r="L97" s="142" t="s">
        <v>137</v>
      </c>
      <c r="M97" s="142" t="s">
        <v>131</v>
      </c>
      <c r="N97" s="142" t="s">
        <v>138</v>
      </c>
      <c r="O97" s="137"/>
      <c r="P97" s="137"/>
      <c r="Q97" s="137"/>
      <c r="R97" s="137"/>
      <c r="S97" s="137"/>
      <c r="T97" s="137"/>
      <c r="U97" s="137"/>
      <c r="V97" s="137"/>
      <c r="W97" s="134"/>
      <c r="X97" s="137"/>
      <c r="Y97" s="134"/>
      <c r="Z97" s="137"/>
      <c r="AA97" s="134"/>
      <c r="AB97" s="137"/>
      <c r="AC97" s="134"/>
      <c r="AD97" s="146"/>
    </row>
    <row r="98" spans="4:30" x14ac:dyDescent="0.25">
      <c r="D98" s="272"/>
      <c r="E98" s="138" t="s">
        <v>129</v>
      </c>
      <c r="F98" s="139" t="s">
        <v>31</v>
      </c>
      <c r="G98" s="167" t="s">
        <v>132</v>
      </c>
      <c r="H98" s="142" t="s">
        <v>133</v>
      </c>
      <c r="I98" s="142" t="s">
        <v>134</v>
      </c>
      <c r="J98" s="142" t="s">
        <v>135</v>
      </c>
      <c r="K98" s="142" t="s">
        <v>136</v>
      </c>
      <c r="L98" s="142" t="s">
        <v>137</v>
      </c>
      <c r="M98" s="142" t="s">
        <v>131</v>
      </c>
      <c r="N98" s="142" t="s">
        <v>138</v>
      </c>
      <c r="O98" s="137"/>
      <c r="P98" s="137"/>
      <c r="Q98" s="137"/>
      <c r="R98" s="137"/>
      <c r="S98" s="137"/>
      <c r="T98" s="137"/>
      <c r="U98" s="137"/>
      <c r="V98" s="137"/>
      <c r="W98" s="134"/>
      <c r="X98" s="137"/>
      <c r="Y98" s="134"/>
      <c r="Z98" s="137"/>
      <c r="AA98" s="134"/>
      <c r="AB98" s="137"/>
      <c r="AC98" s="134"/>
      <c r="AD98" s="146"/>
    </row>
    <row r="99" spans="4:30" x14ac:dyDescent="0.25">
      <c r="D99" s="272"/>
      <c r="E99" s="128" t="s">
        <v>130</v>
      </c>
      <c r="F99" s="129" t="s">
        <v>33</v>
      </c>
      <c r="G99" s="168" t="s">
        <v>132</v>
      </c>
      <c r="H99" s="143" t="s">
        <v>133</v>
      </c>
      <c r="I99" s="143" t="s">
        <v>134</v>
      </c>
      <c r="J99" s="143" t="s">
        <v>135</v>
      </c>
      <c r="K99" s="143" t="s">
        <v>136</v>
      </c>
      <c r="L99" s="143" t="s">
        <v>137</v>
      </c>
      <c r="M99" s="143" t="s">
        <v>131</v>
      </c>
      <c r="N99" s="143" t="s">
        <v>138</v>
      </c>
      <c r="O99" s="145"/>
      <c r="P99" s="145"/>
      <c r="Q99" s="145"/>
      <c r="R99" s="145"/>
      <c r="S99" s="137"/>
      <c r="T99" s="137"/>
      <c r="U99" s="137"/>
      <c r="V99" s="137"/>
      <c r="W99" s="134"/>
      <c r="X99" s="137"/>
      <c r="Y99" s="134"/>
      <c r="Z99" s="137"/>
      <c r="AA99" s="134"/>
      <c r="AB99" s="137"/>
      <c r="AC99" s="134"/>
      <c r="AD99" s="146"/>
    </row>
    <row r="100" spans="4:30" x14ac:dyDescent="0.25">
      <c r="D100" s="272"/>
      <c r="E100" s="128" t="s">
        <v>130</v>
      </c>
      <c r="F100" s="129" t="s">
        <v>34</v>
      </c>
      <c r="G100" s="168" t="s">
        <v>132</v>
      </c>
      <c r="H100" s="143" t="s">
        <v>133</v>
      </c>
      <c r="I100" s="143" t="s">
        <v>134</v>
      </c>
      <c r="J100" s="143" t="s">
        <v>135</v>
      </c>
      <c r="K100" s="143" t="s">
        <v>136</v>
      </c>
      <c r="L100" s="143" t="s">
        <v>137</v>
      </c>
      <c r="M100" s="143" t="s">
        <v>131</v>
      </c>
      <c r="N100" s="143" t="s">
        <v>138</v>
      </c>
      <c r="O100" s="145"/>
      <c r="P100" s="145"/>
      <c r="Q100" s="145"/>
      <c r="R100" s="145"/>
      <c r="S100" s="137"/>
      <c r="T100" s="137"/>
      <c r="U100" s="137"/>
      <c r="V100" s="137"/>
      <c r="W100" s="134"/>
      <c r="X100" s="137"/>
      <c r="Y100" s="134"/>
      <c r="Z100" s="137"/>
      <c r="AA100" s="134"/>
      <c r="AB100" s="137"/>
      <c r="AC100" s="134"/>
      <c r="AD100" s="146"/>
    </row>
    <row r="101" spans="4:30" x14ac:dyDescent="0.25">
      <c r="D101" s="273" t="s">
        <v>140</v>
      </c>
      <c r="E101" s="131" t="s">
        <v>126</v>
      </c>
      <c r="F101" s="132" t="s">
        <v>35</v>
      </c>
      <c r="G101" s="165" t="s">
        <v>119</v>
      </c>
      <c r="H101" s="140" t="s">
        <v>119</v>
      </c>
      <c r="I101" s="140" t="s">
        <v>120</v>
      </c>
      <c r="J101" s="140" t="s">
        <v>120</v>
      </c>
      <c r="K101" s="140" t="s">
        <v>121</v>
      </c>
      <c r="L101" s="140" t="s">
        <v>121</v>
      </c>
      <c r="M101" s="140" t="s">
        <v>122</v>
      </c>
      <c r="N101" s="140" t="s">
        <v>122</v>
      </c>
      <c r="O101" s="140" t="s">
        <v>123</v>
      </c>
      <c r="P101" s="140" t="s">
        <v>123</v>
      </c>
      <c r="Q101" s="140" t="s">
        <v>124</v>
      </c>
      <c r="R101" s="140" t="s">
        <v>124</v>
      </c>
      <c r="S101" s="140" t="s">
        <v>125</v>
      </c>
      <c r="T101" s="140" t="s">
        <v>125</v>
      </c>
      <c r="U101" s="137"/>
      <c r="V101" s="137"/>
      <c r="W101" s="134"/>
      <c r="X101" s="137"/>
      <c r="Y101" s="134"/>
      <c r="Z101" s="137"/>
      <c r="AA101" s="134"/>
      <c r="AB101" s="137"/>
      <c r="AC101" s="134"/>
      <c r="AD101" s="146"/>
    </row>
    <row r="102" spans="4:30" x14ac:dyDescent="0.25">
      <c r="D102" s="273"/>
      <c r="E102" s="133" t="s">
        <v>127</v>
      </c>
      <c r="F102" s="130" t="s">
        <v>36</v>
      </c>
      <c r="G102" s="166" t="s">
        <v>128</v>
      </c>
      <c r="H102" s="141" t="s">
        <v>128</v>
      </c>
      <c r="I102" s="141" t="s">
        <v>128</v>
      </c>
      <c r="J102" s="141" t="s">
        <v>128</v>
      </c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4"/>
      <c r="X102" s="137"/>
      <c r="Y102" s="134"/>
      <c r="Z102" s="137"/>
      <c r="AA102" s="134"/>
      <c r="AB102" s="137"/>
      <c r="AC102" s="134"/>
      <c r="AD102" s="146"/>
    </row>
    <row r="103" spans="4:30" x14ac:dyDescent="0.25">
      <c r="D103" s="273"/>
      <c r="E103" s="138" t="s">
        <v>129</v>
      </c>
      <c r="F103" s="139" t="s">
        <v>67</v>
      </c>
      <c r="G103" s="167" t="s">
        <v>132</v>
      </c>
      <c r="H103" s="142" t="s">
        <v>133</v>
      </c>
      <c r="I103" s="142" t="s">
        <v>134</v>
      </c>
      <c r="J103" s="142" t="s">
        <v>135</v>
      </c>
      <c r="K103" s="142" t="s">
        <v>136</v>
      </c>
      <c r="L103" s="142" t="s">
        <v>137</v>
      </c>
      <c r="M103" s="142" t="s">
        <v>131</v>
      </c>
      <c r="N103" s="142" t="s">
        <v>138</v>
      </c>
      <c r="O103" s="137"/>
      <c r="P103" s="137"/>
      <c r="Q103" s="137"/>
      <c r="R103" s="137"/>
      <c r="S103" s="137"/>
      <c r="T103" s="137"/>
      <c r="U103" s="137"/>
      <c r="V103" s="137"/>
      <c r="W103" s="134"/>
      <c r="X103" s="137"/>
      <c r="Y103" s="134"/>
      <c r="Z103" s="137"/>
      <c r="AA103" s="134"/>
      <c r="AB103" s="137"/>
      <c r="AC103" s="134"/>
      <c r="AD103" s="146"/>
    </row>
    <row r="104" spans="4:30" x14ac:dyDescent="0.25">
      <c r="D104" s="273"/>
      <c r="E104" s="138" t="s">
        <v>129</v>
      </c>
      <c r="F104" s="139" t="s">
        <v>68</v>
      </c>
      <c r="G104" s="167" t="s">
        <v>132</v>
      </c>
      <c r="H104" s="142" t="s">
        <v>133</v>
      </c>
      <c r="I104" s="142" t="s">
        <v>134</v>
      </c>
      <c r="J104" s="142" t="s">
        <v>135</v>
      </c>
      <c r="K104" s="142" t="s">
        <v>136</v>
      </c>
      <c r="L104" s="142" t="s">
        <v>137</v>
      </c>
      <c r="M104" s="142" t="s">
        <v>131</v>
      </c>
      <c r="N104" s="142" t="s">
        <v>138</v>
      </c>
      <c r="O104" s="137"/>
      <c r="P104" s="137"/>
      <c r="Q104" s="137"/>
      <c r="R104" s="137"/>
      <c r="S104" s="137"/>
      <c r="T104" s="137"/>
      <c r="U104" s="137"/>
      <c r="V104" s="137"/>
      <c r="W104" s="134"/>
      <c r="X104" s="137"/>
      <c r="Y104" s="134"/>
      <c r="Z104" s="137"/>
      <c r="AA104" s="134"/>
      <c r="AB104" s="137"/>
      <c r="AC104" s="134"/>
      <c r="AD104" s="146"/>
    </row>
    <row r="105" spans="4:30" x14ac:dyDescent="0.25">
      <c r="D105" s="273"/>
      <c r="E105" s="128" t="s">
        <v>130</v>
      </c>
      <c r="F105" s="129" t="s">
        <v>69</v>
      </c>
      <c r="G105" s="168" t="s">
        <v>132</v>
      </c>
      <c r="H105" s="143" t="s">
        <v>133</v>
      </c>
      <c r="I105" s="143" t="s">
        <v>134</v>
      </c>
      <c r="J105" s="143" t="s">
        <v>135</v>
      </c>
      <c r="K105" s="143" t="s">
        <v>136</v>
      </c>
      <c r="L105" s="143" t="s">
        <v>137</v>
      </c>
      <c r="M105" s="143" t="s">
        <v>131</v>
      </c>
      <c r="N105" s="143" t="s">
        <v>138</v>
      </c>
      <c r="O105" s="145"/>
      <c r="P105" s="145"/>
      <c r="Q105" s="145"/>
      <c r="R105" s="145"/>
      <c r="S105" s="137"/>
      <c r="T105" s="137"/>
      <c r="U105" s="137"/>
      <c r="V105" s="137"/>
      <c r="W105" s="134"/>
      <c r="X105" s="137"/>
      <c r="Y105" s="134"/>
      <c r="Z105" s="137"/>
      <c r="AA105" s="134"/>
      <c r="AB105" s="137"/>
      <c r="AC105" s="134"/>
      <c r="AD105" s="146"/>
    </row>
    <row r="106" spans="4:30" x14ac:dyDescent="0.25">
      <c r="D106" s="273"/>
      <c r="E106" s="128" t="s">
        <v>130</v>
      </c>
      <c r="F106" s="129" t="s">
        <v>70</v>
      </c>
      <c r="G106" s="168" t="s">
        <v>132</v>
      </c>
      <c r="H106" s="143" t="s">
        <v>133</v>
      </c>
      <c r="I106" s="143" t="s">
        <v>134</v>
      </c>
      <c r="J106" s="143" t="s">
        <v>135</v>
      </c>
      <c r="K106" s="143" t="s">
        <v>136</v>
      </c>
      <c r="L106" s="143" t="s">
        <v>137</v>
      </c>
      <c r="M106" s="143" t="s">
        <v>131</v>
      </c>
      <c r="N106" s="143" t="s">
        <v>138</v>
      </c>
      <c r="O106" s="145"/>
      <c r="P106" s="145"/>
      <c r="Q106" s="145"/>
      <c r="R106" s="145"/>
      <c r="S106" s="137"/>
      <c r="T106" s="137"/>
      <c r="U106" s="137"/>
      <c r="V106" s="137"/>
      <c r="W106" s="134"/>
      <c r="X106" s="137"/>
      <c r="Y106" s="134"/>
      <c r="Z106" s="137"/>
      <c r="AA106" s="134"/>
      <c r="AB106" s="137"/>
      <c r="AC106" s="134"/>
      <c r="AD106" s="146"/>
    </row>
    <row r="107" spans="4:30" x14ac:dyDescent="0.25">
      <c r="D107" s="254"/>
      <c r="E107" s="125"/>
      <c r="F107" s="126" t="s">
        <v>71</v>
      </c>
      <c r="G107" s="147"/>
      <c r="H107" s="145"/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34"/>
      <c r="T107" s="137"/>
      <c r="U107" s="134"/>
      <c r="V107" s="137"/>
      <c r="W107" s="134"/>
      <c r="X107" s="137"/>
      <c r="Y107" s="134"/>
      <c r="Z107" s="137"/>
      <c r="AA107" s="134"/>
      <c r="AB107" s="137"/>
      <c r="AC107" s="134"/>
      <c r="AD107" s="146"/>
    </row>
    <row r="108" spans="4:30" x14ac:dyDescent="0.25">
      <c r="D108" s="254"/>
      <c r="E108" s="127"/>
      <c r="F108" s="126" t="s">
        <v>87</v>
      </c>
      <c r="G108" s="147"/>
      <c r="H108" s="145"/>
      <c r="I108" s="144"/>
      <c r="J108" s="145"/>
      <c r="K108" s="144"/>
      <c r="L108" s="145"/>
      <c r="M108" s="144"/>
      <c r="N108" s="145"/>
      <c r="O108" s="144"/>
      <c r="P108" s="145"/>
      <c r="Q108" s="144"/>
      <c r="R108" s="145"/>
      <c r="S108" s="134"/>
      <c r="T108" s="137"/>
      <c r="U108" s="134"/>
      <c r="V108" s="137"/>
      <c r="W108" s="134"/>
      <c r="X108" s="137"/>
      <c r="Y108" s="134"/>
      <c r="Z108" s="137"/>
      <c r="AA108" s="134"/>
      <c r="AB108" s="137"/>
      <c r="AC108" s="134"/>
      <c r="AD108" s="146"/>
    </row>
    <row r="109" spans="4:30" x14ac:dyDescent="0.25">
      <c r="D109" s="226"/>
      <c r="E109" s="125"/>
      <c r="F109" s="126" t="s">
        <v>88</v>
      </c>
      <c r="G109" s="148"/>
      <c r="H109" s="137"/>
      <c r="I109" s="134"/>
      <c r="J109" s="137"/>
      <c r="K109" s="134"/>
      <c r="L109" s="137"/>
      <c r="M109" s="134"/>
      <c r="N109" s="137"/>
      <c r="O109" s="134"/>
      <c r="P109" s="137"/>
      <c r="Q109" s="134"/>
      <c r="R109" s="137"/>
      <c r="S109" s="134"/>
      <c r="T109" s="137"/>
      <c r="U109" s="134"/>
      <c r="V109" s="137"/>
      <c r="W109" s="134"/>
      <c r="X109" s="137"/>
      <c r="Y109" s="134"/>
      <c r="Z109" s="137"/>
      <c r="AA109" s="134"/>
      <c r="AB109" s="137"/>
      <c r="AC109" s="134"/>
      <c r="AD109" s="146"/>
    </row>
    <row r="110" spans="4:30" ht="15.75" thickBot="1" x14ac:dyDescent="0.3">
      <c r="D110" s="226"/>
      <c r="E110" s="125"/>
      <c r="F110" s="126" t="s">
        <v>89</v>
      </c>
      <c r="G110" s="136"/>
      <c r="H110" s="149"/>
      <c r="I110" s="135"/>
      <c r="J110" s="149"/>
      <c r="K110" s="135"/>
      <c r="L110" s="149"/>
      <c r="M110" s="135"/>
      <c r="N110" s="149"/>
      <c r="O110" s="135"/>
      <c r="P110" s="149"/>
      <c r="Q110" s="135"/>
      <c r="R110" s="149"/>
      <c r="S110" s="135"/>
      <c r="T110" s="149"/>
      <c r="U110" s="135"/>
      <c r="V110" s="149"/>
      <c r="W110" s="135"/>
      <c r="X110" s="149"/>
      <c r="Y110" s="135"/>
      <c r="Z110" s="149"/>
      <c r="AA110" s="135"/>
      <c r="AB110" s="149"/>
      <c r="AC110" s="135"/>
      <c r="AD110" s="150"/>
    </row>
    <row r="111" spans="4:30" x14ac:dyDescent="0.25">
      <c r="D111" s="226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8"/>
    </row>
    <row r="112" spans="4:30" x14ac:dyDescent="0.25">
      <c r="D112" s="226" t="s">
        <v>337</v>
      </c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8"/>
    </row>
    <row r="113" spans="4:30" ht="15.75" thickBot="1" x14ac:dyDescent="0.3">
      <c r="D113" s="226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8"/>
    </row>
    <row r="114" spans="4:30" x14ac:dyDescent="0.25">
      <c r="D114" s="248" t="s">
        <v>333</v>
      </c>
      <c r="E114" s="249"/>
      <c r="F114" s="155" t="s">
        <v>335</v>
      </c>
      <c r="G114" s="247" t="s">
        <v>14</v>
      </c>
      <c r="H114" s="246"/>
      <c r="I114" s="156">
        <v>55</v>
      </c>
      <c r="J114" s="15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8"/>
    </row>
    <row r="115" spans="4:30" x14ac:dyDescent="0.25">
      <c r="D115" s="250" t="s">
        <v>342</v>
      </c>
      <c r="E115" s="251"/>
      <c r="F115" s="169">
        <v>6.25</v>
      </c>
      <c r="G115" s="219" t="s">
        <v>16</v>
      </c>
      <c r="H115" s="219"/>
      <c r="I115" s="176">
        <f>F115*$H$114</f>
        <v>0</v>
      </c>
      <c r="J115" s="158" t="s">
        <v>16</v>
      </c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8"/>
    </row>
    <row r="116" spans="4:30" x14ac:dyDescent="0.25">
      <c r="D116" s="252" t="s">
        <v>142</v>
      </c>
      <c r="E116" s="253"/>
      <c r="F116" s="178"/>
      <c r="G116" s="220"/>
      <c r="H116" s="220"/>
      <c r="I116" s="176"/>
      <c r="J116" s="163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8"/>
    </row>
    <row r="117" spans="4:30" x14ac:dyDescent="0.25">
      <c r="D117" s="250" t="s">
        <v>143</v>
      </c>
      <c r="E117" s="251"/>
      <c r="F117" s="169">
        <v>0.625</v>
      </c>
      <c r="G117" s="219" t="s">
        <v>16</v>
      </c>
      <c r="H117" s="219"/>
      <c r="I117" s="176">
        <f>F117*$H$114</f>
        <v>0</v>
      </c>
      <c r="J117" s="158" t="s">
        <v>16</v>
      </c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8"/>
    </row>
    <row r="118" spans="4:30" ht="15.75" thickBot="1" x14ac:dyDescent="0.3">
      <c r="D118" s="266" t="s">
        <v>23</v>
      </c>
      <c r="E118" s="267"/>
      <c r="F118" s="170">
        <v>3.125</v>
      </c>
      <c r="G118" s="222" t="s">
        <v>16</v>
      </c>
      <c r="H118" s="222"/>
      <c r="I118" s="180">
        <f>F118*$H$114</f>
        <v>0</v>
      </c>
      <c r="J118" s="160" t="s">
        <v>16</v>
      </c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8"/>
    </row>
    <row r="119" spans="4:30" ht="15.75" thickBot="1" x14ac:dyDescent="0.3">
      <c r="D119" s="268" t="s">
        <v>37</v>
      </c>
      <c r="E119" s="269"/>
      <c r="F119" s="171">
        <v>12.5</v>
      </c>
      <c r="G119" s="221" t="s">
        <v>16</v>
      </c>
      <c r="H119" s="221"/>
      <c r="I119" s="181">
        <f>F119*$H$114</f>
        <v>0</v>
      </c>
      <c r="J119" s="162" t="s">
        <v>16</v>
      </c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8"/>
    </row>
    <row r="120" spans="4:30" x14ac:dyDescent="0.25">
      <c r="D120" s="226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8"/>
    </row>
    <row r="121" spans="4:30" x14ac:dyDescent="0.25">
      <c r="D121" s="226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8"/>
    </row>
    <row r="122" spans="4:30" ht="15.75" thickBot="1" x14ac:dyDescent="0.3">
      <c r="D122" s="226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8"/>
    </row>
    <row r="123" spans="4:30" x14ac:dyDescent="0.25">
      <c r="D123" s="270" t="s">
        <v>144</v>
      </c>
      <c r="E123" s="271"/>
      <c r="F123" s="175" t="s">
        <v>145</v>
      </c>
      <c r="G123" s="155"/>
      <c r="H123" s="246"/>
      <c r="I123" s="177">
        <v>55</v>
      </c>
      <c r="J123" s="15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8"/>
    </row>
    <row r="124" spans="4:30" x14ac:dyDescent="0.25">
      <c r="D124" s="256" t="s">
        <v>342</v>
      </c>
      <c r="E124" s="257"/>
      <c r="F124" s="169">
        <v>6.25</v>
      </c>
      <c r="G124" s="219" t="s">
        <v>16</v>
      </c>
      <c r="H124" s="219"/>
      <c r="I124" s="176">
        <f>F124*$H$123</f>
        <v>0</v>
      </c>
      <c r="J124" s="158" t="s">
        <v>16</v>
      </c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8"/>
    </row>
    <row r="125" spans="4:30" x14ac:dyDescent="0.25">
      <c r="D125" s="258" t="s">
        <v>142</v>
      </c>
      <c r="E125" s="259"/>
      <c r="F125" s="178"/>
      <c r="G125" s="220"/>
      <c r="H125" s="220"/>
      <c r="I125" s="176"/>
      <c r="J125" s="163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8"/>
    </row>
    <row r="126" spans="4:30" x14ac:dyDescent="0.25">
      <c r="D126" s="256" t="s">
        <v>143</v>
      </c>
      <c r="E126" s="257"/>
      <c r="F126" s="169">
        <v>0.625</v>
      </c>
      <c r="G126" s="219" t="s">
        <v>16</v>
      </c>
      <c r="H126" s="219"/>
      <c r="I126" s="176">
        <f>F126*$H$123</f>
        <v>0</v>
      </c>
      <c r="J126" s="158" t="s">
        <v>16</v>
      </c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8"/>
    </row>
    <row r="127" spans="4:30" ht="15.75" thickBot="1" x14ac:dyDescent="0.3">
      <c r="D127" s="260" t="s">
        <v>23</v>
      </c>
      <c r="E127" s="261"/>
      <c r="F127" s="170">
        <v>3.125</v>
      </c>
      <c r="G127" s="222" t="s">
        <v>16</v>
      </c>
      <c r="H127" s="222"/>
      <c r="I127" s="180">
        <f>F127*$H$123</f>
        <v>0</v>
      </c>
      <c r="J127" s="160" t="s">
        <v>16</v>
      </c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8"/>
    </row>
    <row r="128" spans="4:30" ht="15.75" thickBot="1" x14ac:dyDescent="0.3">
      <c r="D128" s="262" t="s">
        <v>37</v>
      </c>
      <c r="E128" s="263"/>
      <c r="F128" s="171">
        <v>12.5</v>
      </c>
      <c r="G128" s="221" t="s">
        <v>16</v>
      </c>
      <c r="H128" s="221"/>
      <c r="I128" s="181">
        <f>F128*$H$123</f>
        <v>0</v>
      </c>
      <c r="J128" s="162" t="s">
        <v>16</v>
      </c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8"/>
    </row>
    <row r="129" spans="4:30" x14ac:dyDescent="0.25">
      <c r="D129" s="226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8"/>
    </row>
    <row r="130" spans="4:30" x14ac:dyDescent="0.25">
      <c r="D130" s="226" t="s">
        <v>338</v>
      </c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  <c r="AB130" s="227"/>
      <c r="AC130" s="227"/>
      <c r="AD130" s="228"/>
    </row>
    <row r="131" spans="4:30" x14ac:dyDescent="0.25">
      <c r="D131" s="226" t="s">
        <v>339</v>
      </c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  <c r="AC131" s="227"/>
      <c r="AD131" s="228"/>
    </row>
    <row r="132" spans="4:30" x14ac:dyDescent="0.25">
      <c r="D132" s="226" t="s">
        <v>340</v>
      </c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  <c r="AB132" s="227"/>
      <c r="AC132" s="227"/>
      <c r="AD132" s="228"/>
    </row>
    <row r="133" spans="4:30" ht="15.75" thickBot="1" x14ac:dyDescent="0.3">
      <c r="D133" s="241" t="s">
        <v>341</v>
      </c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3"/>
    </row>
    <row r="134" spans="4:30" x14ac:dyDescent="0.25">
      <c r="D134" s="248" t="s">
        <v>343</v>
      </c>
      <c r="E134" s="224"/>
      <c r="F134" s="224"/>
      <c r="G134" s="224"/>
      <c r="H134" s="224"/>
      <c r="I134" s="224"/>
      <c r="J134" s="224"/>
      <c r="K134" s="225"/>
    </row>
    <row r="135" spans="4:30" x14ac:dyDescent="0.25">
      <c r="D135" s="254" t="s">
        <v>344</v>
      </c>
      <c r="E135" s="227"/>
      <c r="F135" s="227"/>
      <c r="G135" s="227"/>
      <c r="H135" s="227"/>
      <c r="I135" s="227"/>
      <c r="J135" s="227"/>
      <c r="K135" s="228"/>
    </row>
    <row r="136" spans="4:30" x14ac:dyDescent="0.25">
      <c r="D136" s="254" t="s">
        <v>345</v>
      </c>
      <c r="E136" s="227"/>
      <c r="F136" s="227"/>
      <c r="G136" s="227"/>
      <c r="H136" s="227"/>
      <c r="I136" s="227"/>
      <c r="J136" s="227"/>
      <c r="K136" s="228"/>
    </row>
    <row r="137" spans="4:30" x14ac:dyDescent="0.25">
      <c r="D137" s="254" t="s">
        <v>346</v>
      </c>
      <c r="E137" s="227"/>
      <c r="F137" s="227"/>
      <c r="G137" s="227"/>
      <c r="H137" s="227"/>
      <c r="I137" s="227"/>
      <c r="J137" s="227"/>
      <c r="K137" s="228"/>
    </row>
    <row r="138" spans="4:30" x14ac:dyDescent="0.25">
      <c r="D138" s="254" t="s">
        <v>347</v>
      </c>
      <c r="E138" s="227"/>
      <c r="F138" s="227"/>
      <c r="G138" s="227"/>
      <c r="H138" s="227"/>
      <c r="I138" s="227"/>
      <c r="J138" s="227"/>
      <c r="K138" s="228"/>
    </row>
    <row r="139" spans="4:30" x14ac:dyDescent="0.25">
      <c r="D139" s="254" t="s">
        <v>348</v>
      </c>
      <c r="E139" s="227"/>
      <c r="F139" s="227"/>
      <c r="G139" s="227"/>
      <c r="H139" s="227"/>
      <c r="I139" s="227"/>
      <c r="J139" s="227"/>
      <c r="K139" s="228"/>
    </row>
    <row r="140" spans="4:30" x14ac:dyDescent="0.25">
      <c r="D140" s="254" t="s">
        <v>349</v>
      </c>
      <c r="E140" s="227"/>
      <c r="F140" s="227"/>
      <c r="G140" s="227"/>
      <c r="H140" s="227"/>
      <c r="I140" s="227"/>
      <c r="J140" s="227"/>
      <c r="K140" s="228"/>
    </row>
    <row r="141" spans="4:30" x14ac:dyDescent="0.25">
      <c r="D141" s="254" t="s">
        <v>350</v>
      </c>
      <c r="E141" s="227"/>
      <c r="F141" s="227"/>
      <c r="G141" s="227"/>
      <c r="H141" s="227"/>
      <c r="I141" s="227"/>
      <c r="J141" s="227"/>
      <c r="K141" s="228"/>
    </row>
    <row r="142" spans="4:30" x14ac:dyDescent="0.25">
      <c r="D142" s="254" t="s">
        <v>351</v>
      </c>
      <c r="E142" s="227"/>
      <c r="F142" s="227"/>
      <c r="G142" s="227"/>
      <c r="H142" s="227"/>
      <c r="I142" s="227"/>
      <c r="J142" s="227"/>
      <c r="K142" s="228"/>
    </row>
    <row r="143" spans="4:30" ht="15.75" x14ac:dyDescent="0.25">
      <c r="D143" s="291" t="s">
        <v>352</v>
      </c>
      <c r="E143" s="227"/>
      <c r="F143" s="227"/>
      <c r="G143" s="227"/>
      <c r="H143" s="227"/>
      <c r="I143" s="227"/>
      <c r="J143" s="227"/>
      <c r="K143" s="228"/>
    </row>
    <row r="144" spans="4:30" ht="15.75" x14ac:dyDescent="0.25">
      <c r="D144" s="291" t="s">
        <v>353</v>
      </c>
      <c r="E144" s="227"/>
      <c r="F144" s="227"/>
      <c r="G144" s="227"/>
      <c r="H144" s="227"/>
      <c r="I144" s="227"/>
      <c r="J144" s="227"/>
      <c r="K144" s="228"/>
    </row>
    <row r="145" spans="4:11" ht="15.75" x14ac:dyDescent="0.25">
      <c r="D145" s="291" t="s">
        <v>354</v>
      </c>
      <c r="E145" s="292" t="s">
        <v>355</v>
      </c>
      <c r="F145" s="227"/>
      <c r="G145" s="227"/>
      <c r="H145" s="227"/>
      <c r="I145" s="227"/>
      <c r="J145" s="227"/>
      <c r="K145" s="228"/>
    </row>
    <row r="146" spans="4:11" ht="15.75" x14ac:dyDescent="0.25">
      <c r="D146" s="293" t="s">
        <v>356</v>
      </c>
      <c r="E146" s="292"/>
      <c r="F146" s="227"/>
      <c r="G146" s="227"/>
      <c r="H146" s="227"/>
      <c r="I146" s="227"/>
      <c r="J146" s="227"/>
      <c r="K146" s="228"/>
    </row>
    <row r="147" spans="4:11" x14ac:dyDescent="0.25">
      <c r="D147" s="226" t="s">
        <v>360</v>
      </c>
      <c r="E147" s="61"/>
      <c r="F147" s="227"/>
      <c r="G147" s="227"/>
      <c r="H147" s="227"/>
      <c r="I147" s="227"/>
      <c r="J147" s="227"/>
      <c r="K147" s="228"/>
    </row>
    <row r="148" spans="4:11" x14ac:dyDescent="0.25">
      <c r="D148" s="226" t="s">
        <v>357</v>
      </c>
      <c r="E148" s="227"/>
      <c r="F148" s="227"/>
      <c r="G148" s="227"/>
      <c r="H148" s="227"/>
      <c r="I148" s="227"/>
      <c r="J148" s="227"/>
      <c r="K148" s="228"/>
    </row>
    <row r="149" spans="4:11" x14ac:dyDescent="0.25">
      <c r="D149" s="226" t="s">
        <v>358</v>
      </c>
      <c r="E149" s="227"/>
      <c r="F149" s="227"/>
      <c r="G149" s="227"/>
      <c r="H149" s="227"/>
      <c r="I149" s="227"/>
      <c r="J149" s="227"/>
      <c r="K149" s="228"/>
    </row>
    <row r="150" spans="4:11" ht="15.75" thickBot="1" x14ac:dyDescent="0.3">
      <c r="D150" s="241" t="s">
        <v>359</v>
      </c>
      <c r="E150" s="242"/>
      <c r="F150" s="242"/>
      <c r="G150" s="242"/>
      <c r="H150" s="242"/>
      <c r="I150" s="242"/>
      <c r="J150" s="242"/>
      <c r="K150" s="243"/>
    </row>
  </sheetData>
  <mergeCells count="18">
    <mergeCell ref="E145:E146"/>
    <mergeCell ref="H9:K9"/>
    <mergeCell ref="D9:E9"/>
    <mergeCell ref="L9:M9"/>
    <mergeCell ref="D81:E81"/>
    <mergeCell ref="D90:E90"/>
    <mergeCell ref="D86:E86"/>
    <mergeCell ref="D92:E92"/>
    <mergeCell ref="D118:E118"/>
    <mergeCell ref="D119:E119"/>
    <mergeCell ref="D123:E123"/>
    <mergeCell ref="D95:D100"/>
    <mergeCell ref="D101:D106"/>
    <mergeCell ref="D124:E124"/>
    <mergeCell ref="D125:E125"/>
    <mergeCell ref="D126:E126"/>
    <mergeCell ref="D127:E127"/>
    <mergeCell ref="D128:E1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70"/>
  <sheetViews>
    <sheetView tabSelected="1" topLeftCell="A25" zoomScale="70" zoomScaleNormal="70" workbookViewId="0">
      <selection activeCell="S20" sqref="S20"/>
    </sheetView>
  </sheetViews>
  <sheetFormatPr defaultRowHeight="15" x14ac:dyDescent="0.25"/>
  <cols>
    <col min="4" max="4" width="11.140625" customWidth="1"/>
    <col min="5" max="5" width="9.5703125" customWidth="1"/>
    <col min="9" max="9" width="12.140625" customWidth="1"/>
    <col min="10" max="10" width="10.5703125" customWidth="1"/>
    <col min="14" max="14" width="10.42578125" customWidth="1"/>
    <col min="15" max="15" width="11" customWidth="1"/>
    <col min="19" max="19" width="11.42578125" customWidth="1"/>
    <col min="20" max="20" width="10.42578125" customWidth="1"/>
    <col min="27" max="27" width="10.5703125" customWidth="1"/>
    <col min="28" max="28" width="11.42578125" bestFit="1" customWidth="1"/>
  </cols>
  <sheetData>
    <row r="1" spans="2:14" ht="15.75" thickBot="1" x14ac:dyDescent="0.3"/>
    <row r="2" spans="2:14" ht="15.75" thickBot="1" x14ac:dyDescent="0.3">
      <c r="B2" s="294" t="s">
        <v>361</v>
      </c>
      <c r="C2" s="295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5"/>
    </row>
    <row r="3" spans="2:14" x14ac:dyDescent="0.25">
      <c r="B3" s="296" t="s">
        <v>362</v>
      </c>
      <c r="C3" s="295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5"/>
    </row>
    <row r="4" spans="2:14" x14ac:dyDescent="0.25">
      <c r="B4" s="297" t="s">
        <v>363</v>
      </c>
      <c r="C4" s="234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8"/>
    </row>
    <row r="5" spans="2:14" x14ac:dyDescent="0.25">
      <c r="B5" s="297" t="s">
        <v>364</v>
      </c>
      <c r="C5" s="234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8"/>
    </row>
    <row r="6" spans="2:14" x14ac:dyDescent="0.25">
      <c r="B6" s="297" t="s">
        <v>365</v>
      </c>
      <c r="C6" s="234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8"/>
    </row>
    <row r="7" spans="2:14" x14ac:dyDescent="0.25">
      <c r="B7" s="297" t="s">
        <v>366</v>
      </c>
      <c r="C7" s="234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/>
    </row>
    <row r="8" spans="2:14" x14ac:dyDescent="0.25">
      <c r="B8" s="298" t="s">
        <v>367</v>
      </c>
      <c r="C8" s="234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8"/>
    </row>
    <row r="9" spans="2:14" x14ac:dyDescent="0.25">
      <c r="B9" s="297" t="s">
        <v>368</v>
      </c>
      <c r="C9" s="234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8"/>
    </row>
    <row r="10" spans="2:14" x14ac:dyDescent="0.25">
      <c r="B10" s="297" t="s">
        <v>369</v>
      </c>
      <c r="C10" s="234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8"/>
    </row>
    <row r="11" spans="2:14" ht="15.75" thickBot="1" x14ac:dyDescent="0.3">
      <c r="B11" s="299"/>
      <c r="C11" s="300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3"/>
    </row>
    <row r="12" spans="2:14" x14ac:dyDescent="0.25">
      <c r="B12" s="301" t="s">
        <v>370</v>
      </c>
      <c r="C12" s="234"/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8"/>
    </row>
    <row r="13" spans="2:14" x14ac:dyDescent="0.25">
      <c r="B13" s="297" t="s">
        <v>371</v>
      </c>
      <c r="C13" s="234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8"/>
    </row>
    <row r="14" spans="2:14" x14ac:dyDescent="0.25">
      <c r="B14" s="297" t="s">
        <v>372</v>
      </c>
      <c r="C14" s="234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8"/>
    </row>
    <row r="15" spans="2:14" x14ac:dyDescent="0.25">
      <c r="B15" s="297" t="s">
        <v>373</v>
      </c>
      <c r="C15" s="234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8"/>
    </row>
    <row r="16" spans="2:14" x14ac:dyDescent="0.25">
      <c r="B16" s="297" t="s">
        <v>374</v>
      </c>
      <c r="C16" s="234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8"/>
    </row>
    <row r="17" spans="2:15" x14ac:dyDescent="0.25">
      <c r="B17" s="297" t="s">
        <v>375</v>
      </c>
      <c r="C17" s="234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8"/>
    </row>
    <row r="18" spans="2:15" x14ac:dyDescent="0.25">
      <c r="B18" s="297" t="s">
        <v>376</v>
      </c>
      <c r="C18" s="234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8"/>
    </row>
    <row r="19" spans="2:15" x14ac:dyDescent="0.25">
      <c r="B19" s="298" t="s">
        <v>377</v>
      </c>
      <c r="C19" s="234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8"/>
    </row>
    <row r="20" spans="2:15" x14ac:dyDescent="0.25">
      <c r="B20" s="297" t="s">
        <v>378</v>
      </c>
      <c r="C20" s="234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8"/>
    </row>
    <row r="21" spans="2:15" ht="15.75" thickBot="1" x14ac:dyDescent="0.3">
      <c r="B21" s="299" t="s">
        <v>379</v>
      </c>
      <c r="C21" s="300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3"/>
    </row>
    <row r="24" spans="2:15" ht="18.75" x14ac:dyDescent="0.3">
      <c r="B24" s="302" t="s">
        <v>380</v>
      </c>
    </row>
    <row r="26" spans="2:15" ht="15.75" thickBot="1" x14ac:dyDescent="0.3">
      <c r="B26" s="303" t="s">
        <v>381</v>
      </c>
      <c r="C26" s="304" t="s">
        <v>144</v>
      </c>
      <c r="D26" s="305"/>
      <c r="E26" s="306"/>
      <c r="F26" s="306"/>
    </row>
    <row r="27" spans="2:15" ht="15.75" thickBot="1" x14ac:dyDescent="0.3">
      <c r="B27" s="307"/>
      <c r="C27" s="308">
        <v>0</v>
      </c>
      <c r="D27" s="308" t="s">
        <v>382</v>
      </c>
      <c r="E27" s="309" t="s">
        <v>383</v>
      </c>
      <c r="G27" s="303" t="s">
        <v>384</v>
      </c>
      <c r="L27" s="303" t="s">
        <v>385</v>
      </c>
    </row>
    <row r="28" spans="2:15" ht="15.75" thickBot="1" x14ac:dyDescent="0.3">
      <c r="B28" s="310">
        <v>63.1</v>
      </c>
      <c r="C28" s="311">
        <v>32.150520324707031</v>
      </c>
      <c r="D28" s="311">
        <v>31.722360610961914</v>
      </c>
      <c r="E28" s="312">
        <v>31.743034362792969</v>
      </c>
      <c r="G28" s="313"/>
      <c r="H28" s="308">
        <v>0</v>
      </c>
      <c r="I28" s="308" t="s">
        <v>382</v>
      </c>
      <c r="J28" s="309" t="s">
        <v>383</v>
      </c>
      <c r="L28" s="313"/>
      <c r="M28" s="308">
        <v>0</v>
      </c>
      <c r="N28" s="308" t="s">
        <v>382</v>
      </c>
      <c r="O28" s="309" t="s">
        <v>383</v>
      </c>
    </row>
    <row r="29" spans="2:15" x14ac:dyDescent="0.25">
      <c r="B29" s="314"/>
      <c r="C29" s="311">
        <v>32.144512176513672</v>
      </c>
      <c r="D29" s="311">
        <v>31.936866760253906</v>
      </c>
      <c r="E29" s="312">
        <v>32.263160705566406</v>
      </c>
      <c r="G29" s="315">
        <v>63.1</v>
      </c>
      <c r="H29" s="316">
        <f t="shared" ref="H29:J30" si="0">C28</f>
        <v>32.150520324707031</v>
      </c>
      <c r="I29" s="317">
        <f t="shared" si="0"/>
        <v>31.722360610961914</v>
      </c>
      <c r="J29" s="318">
        <f t="shared" si="0"/>
        <v>31.743034362792969</v>
      </c>
      <c r="L29" s="315">
        <v>63.1</v>
      </c>
      <c r="M29" s="317">
        <f>AVERAGE(H29:H32)</f>
        <v>32.518027305603027</v>
      </c>
      <c r="N29" s="317">
        <f>AVERAGE(I29:I32)</f>
        <v>32.22959566116333</v>
      </c>
      <c r="O29" s="318">
        <f t="shared" ref="O29" si="1">AVERAGE(J29:J32)</f>
        <v>31.948686122894287</v>
      </c>
    </row>
    <row r="30" spans="2:15" x14ac:dyDescent="0.25">
      <c r="B30" s="310">
        <v>107.1</v>
      </c>
      <c r="C30" s="311">
        <v>32.244438171386719</v>
      </c>
      <c r="D30" s="311">
        <v>28.640491485595703</v>
      </c>
      <c r="E30" s="312">
        <v>28.96360969543457</v>
      </c>
      <c r="G30" s="310"/>
      <c r="H30" s="319">
        <f t="shared" si="0"/>
        <v>32.144512176513672</v>
      </c>
      <c r="I30" s="311">
        <f t="shared" si="0"/>
        <v>31.936866760253906</v>
      </c>
      <c r="J30" s="312">
        <f t="shared" si="0"/>
        <v>32.263160705566406</v>
      </c>
      <c r="L30" s="310"/>
      <c r="M30" s="311"/>
      <c r="N30" s="311"/>
      <c r="O30" s="312"/>
    </row>
    <row r="31" spans="2:15" x14ac:dyDescent="0.25">
      <c r="B31" s="320"/>
      <c r="C31" s="321">
        <v>32.315097808837891</v>
      </c>
      <c r="D31" s="321">
        <v>28.156108856201172</v>
      </c>
      <c r="E31" s="322">
        <v>28.877019882202148</v>
      </c>
      <c r="G31" s="310"/>
      <c r="H31" s="319">
        <f t="shared" ref="H31:J32" si="2">C39</f>
        <v>33.028770446777344</v>
      </c>
      <c r="I31" s="311">
        <f t="shared" si="2"/>
        <v>32.362113952636719</v>
      </c>
      <c r="J31" s="312">
        <f t="shared" si="2"/>
        <v>31.872774124145508</v>
      </c>
      <c r="L31" s="310"/>
      <c r="M31" s="311"/>
      <c r="N31" s="311"/>
      <c r="O31" s="312"/>
    </row>
    <row r="32" spans="2:15" x14ac:dyDescent="0.25">
      <c r="B32" s="310">
        <v>63.1</v>
      </c>
      <c r="C32" s="311">
        <v>31.998266220092773</v>
      </c>
      <c r="D32" s="311">
        <v>31.665607452392578</v>
      </c>
      <c r="E32" s="312">
        <v>31.026802062988281</v>
      </c>
      <c r="G32" s="310"/>
      <c r="H32" s="319">
        <f t="shared" si="2"/>
        <v>32.748306274414063</v>
      </c>
      <c r="I32" s="311">
        <f t="shared" si="2"/>
        <v>32.897041320800781</v>
      </c>
      <c r="J32" s="312">
        <f t="shared" si="2"/>
        <v>31.915775299072266</v>
      </c>
      <c r="L32" s="310"/>
      <c r="M32" s="311"/>
      <c r="N32" s="311"/>
      <c r="O32" s="312"/>
    </row>
    <row r="33" spans="2:28" x14ac:dyDescent="0.25">
      <c r="B33" s="314"/>
      <c r="C33" s="311">
        <v>31.857437133789063</v>
      </c>
      <c r="D33" s="311">
        <v>31.532835006713867</v>
      </c>
      <c r="E33" s="312">
        <v>30.479782104492188</v>
      </c>
      <c r="G33" s="310">
        <v>107.1</v>
      </c>
      <c r="H33" s="319">
        <f t="shared" ref="H33:J34" si="3">C30</f>
        <v>32.244438171386719</v>
      </c>
      <c r="I33" s="311">
        <f t="shared" si="3"/>
        <v>28.640491485595703</v>
      </c>
      <c r="J33" s="312">
        <f t="shared" si="3"/>
        <v>28.96360969543457</v>
      </c>
      <c r="L33" s="310">
        <v>107.1</v>
      </c>
      <c r="M33" s="311">
        <f t="shared" ref="M33:N41" si="4">AVERAGE(H33:H36)</f>
        <v>32.847269058227539</v>
      </c>
      <c r="N33" s="311">
        <f>AVERAGE(I33:I36)</f>
        <v>28.500161170959473</v>
      </c>
      <c r="O33" s="312">
        <f t="shared" ref="O33:O41" si="5">AVERAGE(J33:J36)</f>
        <v>28.984201431274414</v>
      </c>
    </row>
    <row r="34" spans="2:28" x14ac:dyDescent="0.25">
      <c r="B34" s="310">
        <v>107.1</v>
      </c>
      <c r="C34" s="311">
        <v>32.094409942626953</v>
      </c>
      <c r="D34" s="311">
        <v>28.843341827392578</v>
      </c>
      <c r="E34" s="312">
        <v>29.117170333862305</v>
      </c>
      <c r="G34" s="310"/>
      <c r="H34" s="319">
        <f t="shared" si="3"/>
        <v>32.315097808837891</v>
      </c>
      <c r="I34" s="311">
        <f t="shared" si="3"/>
        <v>28.156108856201172</v>
      </c>
      <c r="J34" s="312">
        <f t="shared" si="3"/>
        <v>28.877019882202148</v>
      </c>
      <c r="L34" s="310"/>
      <c r="M34" s="311"/>
      <c r="N34" s="311"/>
      <c r="O34" s="312"/>
    </row>
    <row r="35" spans="2:28" ht="15.75" thickBot="1" x14ac:dyDescent="0.3">
      <c r="B35" s="323"/>
      <c r="C35" s="324">
        <v>31.749614715576172</v>
      </c>
      <c r="D35" s="325"/>
      <c r="E35" s="326">
        <v>29.30218505859375</v>
      </c>
      <c r="G35" s="310"/>
      <c r="H35" s="319">
        <f t="shared" ref="H35:J36" si="6">C41</f>
        <v>33.163009643554688</v>
      </c>
      <c r="I35" s="311">
        <f t="shared" si="6"/>
        <v>28.641201019287109</v>
      </c>
      <c r="J35" s="312">
        <f t="shared" si="6"/>
        <v>29.045391082763672</v>
      </c>
      <c r="L35" s="310"/>
      <c r="M35" s="311"/>
      <c r="N35" s="311"/>
      <c r="O35" s="312"/>
    </row>
    <row r="36" spans="2:28" x14ac:dyDescent="0.25">
      <c r="E36" s="306"/>
      <c r="F36" s="306"/>
      <c r="G36" s="327"/>
      <c r="H36" s="328">
        <f t="shared" si="6"/>
        <v>33.666530609130859</v>
      </c>
      <c r="I36" s="321">
        <f t="shared" si="6"/>
        <v>28.562843322753906</v>
      </c>
      <c r="J36" s="322">
        <f t="shared" si="6"/>
        <v>29.050785064697266</v>
      </c>
      <c r="K36" s="306"/>
      <c r="L36" s="327"/>
      <c r="M36" s="321"/>
      <c r="N36" s="321"/>
      <c r="O36" s="322"/>
    </row>
    <row r="37" spans="2:28" ht="15.75" thickBot="1" x14ac:dyDescent="0.3">
      <c r="B37" s="303" t="s">
        <v>386</v>
      </c>
      <c r="C37" s="304" t="s">
        <v>144</v>
      </c>
      <c r="D37" s="305"/>
      <c r="E37" s="306"/>
      <c r="F37" s="306"/>
      <c r="G37" s="310">
        <v>63.1</v>
      </c>
      <c r="H37" s="311">
        <f t="shared" ref="H37:J38" si="7">C32</f>
        <v>31.998266220092773</v>
      </c>
      <c r="I37" s="311">
        <f t="shared" si="7"/>
        <v>31.665607452392578</v>
      </c>
      <c r="J37" s="312">
        <f t="shared" si="7"/>
        <v>31.026802062988281</v>
      </c>
      <c r="K37" s="306"/>
      <c r="L37" s="310">
        <v>63.1</v>
      </c>
      <c r="M37" s="311">
        <f t="shared" si="4"/>
        <v>31.904346942901611</v>
      </c>
      <c r="N37" s="311">
        <f t="shared" si="4"/>
        <v>31.042366027832031</v>
      </c>
      <c r="O37" s="312">
        <f t="shared" si="5"/>
        <v>30.653454780578613</v>
      </c>
    </row>
    <row r="38" spans="2:28" ht="15.75" thickBot="1" x14ac:dyDescent="0.3">
      <c r="B38" s="307"/>
      <c r="C38" s="308">
        <v>0</v>
      </c>
      <c r="D38" s="308" t="s">
        <v>382</v>
      </c>
      <c r="E38" s="309" t="s">
        <v>383</v>
      </c>
      <c r="G38" s="310"/>
      <c r="H38" s="311">
        <f t="shared" si="7"/>
        <v>31.857437133789063</v>
      </c>
      <c r="I38" s="311">
        <f t="shared" si="7"/>
        <v>31.532835006713867</v>
      </c>
      <c r="J38" s="312">
        <f t="shared" si="7"/>
        <v>30.479782104492188</v>
      </c>
      <c r="L38" s="310"/>
      <c r="M38" s="311"/>
      <c r="N38" s="311"/>
      <c r="O38" s="312"/>
    </row>
    <row r="39" spans="2:28" x14ac:dyDescent="0.25">
      <c r="B39" s="310">
        <v>63.1</v>
      </c>
      <c r="C39" s="311">
        <v>33.028770446777344</v>
      </c>
      <c r="D39" s="311">
        <v>32.362113952636719</v>
      </c>
      <c r="E39" s="312">
        <v>31.872774124145508</v>
      </c>
      <c r="G39" s="310"/>
      <c r="H39" s="311">
        <f t="shared" ref="H39:J40" si="8">C43</f>
        <v>31.77818489074707</v>
      </c>
      <c r="I39" s="311">
        <f t="shared" si="8"/>
        <v>30.563728332519531</v>
      </c>
      <c r="J39" s="312">
        <f t="shared" si="8"/>
        <v>30.414411544799805</v>
      </c>
      <c r="L39" s="310"/>
      <c r="M39" s="311"/>
      <c r="N39" s="311"/>
      <c r="O39" s="312"/>
    </row>
    <row r="40" spans="2:28" x14ac:dyDescent="0.25">
      <c r="B40" s="314"/>
      <c r="C40" s="311">
        <v>32.748306274414063</v>
      </c>
      <c r="D40" s="311">
        <v>32.897041320800781</v>
      </c>
      <c r="E40" s="312">
        <v>31.915775299072266</v>
      </c>
      <c r="G40" s="310"/>
      <c r="H40" s="311">
        <f t="shared" si="8"/>
        <v>31.983499526977539</v>
      </c>
      <c r="I40" s="311">
        <f t="shared" si="8"/>
        <v>30.407293319702148</v>
      </c>
      <c r="J40" s="312">
        <f t="shared" si="8"/>
        <v>30.69282341003418</v>
      </c>
      <c r="L40" s="310"/>
      <c r="M40" s="311"/>
      <c r="N40" s="311"/>
      <c r="O40" s="312"/>
    </row>
    <row r="41" spans="2:28" x14ac:dyDescent="0.25">
      <c r="B41" s="310">
        <v>107.1</v>
      </c>
      <c r="C41" s="311">
        <v>33.163009643554688</v>
      </c>
      <c r="D41" s="311">
        <v>28.641201019287109</v>
      </c>
      <c r="E41" s="312">
        <v>29.045391082763672</v>
      </c>
      <c r="G41" s="310">
        <v>107.1</v>
      </c>
      <c r="H41" s="311">
        <f>C34</f>
        <v>32.094409942626953</v>
      </c>
      <c r="I41" s="311">
        <f>D34</f>
        <v>28.843341827392578</v>
      </c>
      <c r="J41" s="312">
        <f>E34</f>
        <v>29.117170333862305</v>
      </c>
      <c r="L41" s="310">
        <v>107.1</v>
      </c>
      <c r="M41" s="311">
        <f t="shared" si="4"/>
        <v>32.30435848236084</v>
      </c>
      <c r="N41" s="311">
        <f>AVERAGE(I41:I44)</f>
        <v>28.866924921671551</v>
      </c>
      <c r="O41" s="312">
        <f t="shared" si="5"/>
        <v>29.174406051635742</v>
      </c>
    </row>
    <row r="42" spans="2:28" x14ac:dyDescent="0.25">
      <c r="B42" s="320"/>
      <c r="C42" s="321">
        <v>33.666530609130859</v>
      </c>
      <c r="D42" s="321">
        <v>28.562843322753906</v>
      </c>
      <c r="E42" s="322">
        <v>29.050785064697266</v>
      </c>
      <c r="G42" s="329"/>
      <c r="H42" s="311">
        <f>C35</f>
        <v>31.749614715576172</v>
      </c>
      <c r="I42" s="311"/>
      <c r="J42" s="312">
        <f>E35</f>
        <v>29.30218505859375</v>
      </c>
      <c r="L42" s="329"/>
      <c r="M42" s="311"/>
      <c r="N42" s="311"/>
      <c r="O42" s="312"/>
    </row>
    <row r="43" spans="2:28" ht="15.75" thickBot="1" x14ac:dyDescent="0.3">
      <c r="B43" s="310">
        <v>63.1</v>
      </c>
      <c r="C43" s="311">
        <v>31.77818489074707</v>
      </c>
      <c r="D43" s="311">
        <v>30.563728332519531</v>
      </c>
      <c r="E43" s="312">
        <v>30.414411544799805</v>
      </c>
      <c r="G43" s="329"/>
      <c r="H43" s="330">
        <f t="shared" ref="H43:J44" si="9">C45</f>
        <v>32.924919128417969</v>
      </c>
      <c r="I43" s="330">
        <f t="shared" si="9"/>
        <v>29.002775192260742</v>
      </c>
      <c r="J43" s="331">
        <f t="shared" si="9"/>
        <v>29.253635406494141</v>
      </c>
      <c r="L43" s="329"/>
      <c r="M43" s="311"/>
      <c r="N43" s="311"/>
      <c r="O43" s="312"/>
      <c r="Q43" s="303" t="s">
        <v>387</v>
      </c>
    </row>
    <row r="44" spans="2:28" ht="15.75" thickBot="1" x14ac:dyDescent="0.3">
      <c r="B44" s="314"/>
      <c r="C44" s="311">
        <v>31.983499526977539</v>
      </c>
      <c r="D44" s="311">
        <v>30.407293319702148</v>
      </c>
      <c r="E44" s="312">
        <v>30.69282341003418</v>
      </c>
      <c r="G44" s="332"/>
      <c r="H44" s="333">
        <f t="shared" si="9"/>
        <v>32.448490142822266</v>
      </c>
      <c r="I44" s="333">
        <f t="shared" si="9"/>
        <v>28.754657745361328</v>
      </c>
      <c r="J44" s="334">
        <f t="shared" si="9"/>
        <v>29.024633407592773</v>
      </c>
      <c r="L44" s="332"/>
      <c r="M44" s="324"/>
      <c r="N44" s="324"/>
      <c r="O44" s="326"/>
      <c r="Q44" s="313"/>
      <c r="R44" s="308">
        <v>0</v>
      </c>
      <c r="S44" s="308" t="s">
        <v>382</v>
      </c>
      <c r="T44" s="309" t="s">
        <v>383</v>
      </c>
    </row>
    <row r="45" spans="2:28" ht="15.75" thickBot="1" x14ac:dyDescent="0.3">
      <c r="B45" s="310">
        <v>107.1</v>
      </c>
      <c r="C45" s="311">
        <v>32.924919128417969</v>
      </c>
      <c r="D45" s="311">
        <v>29.002775192260742</v>
      </c>
      <c r="E45" s="312">
        <v>29.253635406494141</v>
      </c>
      <c r="Q45" s="315">
        <v>63.1</v>
      </c>
      <c r="R45" s="335">
        <f>M29-M53</f>
        <v>6.2116394042968928</v>
      </c>
      <c r="S45" s="335">
        <f>N29-N53</f>
        <v>6.1953344345092773</v>
      </c>
      <c r="T45" s="336">
        <f>O29-O53</f>
        <v>6.8783450126647949</v>
      </c>
      <c r="Y45" s="303" t="s">
        <v>388</v>
      </c>
    </row>
    <row r="46" spans="2:28" ht="15.75" thickBot="1" x14ac:dyDescent="0.3">
      <c r="B46" s="323"/>
      <c r="C46" s="324">
        <v>32.448490142822266</v>
      </c>
      <c r="D46" s="324">
        <v>28.754657745361328</v>
      </c>
      <c r="E46" s="326">
        <v>29.024633407592773</v>
      </c>
      <c r="Q46" s="310"/>
      <c r="R46" s="337"/>
      <c r="S46" s="337"/>
      <c r="T46" s="338"/>
      <c r="Y46" s="313"/>
      <c r="Z46" s="308" t="s">
        <v>389</v>
      </c>
      <c r="AA46" s="308" t="s">
        <v>382</v>
      </c>
      <c r="AB46" s="309" t="s">
        <v>390</v>
      </c>
    </row>
    <row r="47" spans="2:28" ht="15.75" thickBot="1" x14ac:dyDescent="0.3">
      <c r="Q47" s="310">
        <v>107.1</v>
      </c>
      <c r="R47" s="337">
        <f>M33-M57</f>
        <v>7.966956615447998</v>
      </c>
      <c r="S47" s="337">
        <f>N33-N57</f>
        <v>3.1473655700683594</v>
      </c>
      <c r="T47" s="338">
        <f>O33-O57</f>
        <v>2.9941487312316895</v>
      </c>
      <c r="V47" s="339" t="s">
        <v>391</v>
      </c>
      <c r="W47" s="306"/>
      <c r="Y47" s="315">
        <v>63.1</v>
      </c>
      <c r="Z47" s="340">
        <f>R45-W48</f>
        <v>-0.32289743423461026</v>
      </c>
      <c r="AA47" s="340">
        <f>S45-W48</f>
        <v>-0.33920240402222568</v>
      </c>
      <c r="AB47" s="341">
        <f>T45-W48</f>
        <v>0.3438081741332919</v>
      </c>
    </row>
    <row r="48" spans="2:28" x14ac:dyDescent="0.25">
      <c r="Q48" s="327"/>
      <c r="R48" s="342"/>
      <c r="S48" s="342"/>
      <c r="T48" s="343"/>
      <c r="V48" s="344" t="s">
        <v>392</v>
      </c>
      <c r="W48" s="345">
        <f>AVERAGE(R45,R49)</f>
        <v>6.534536838531503</v>
      </c>
      <c r="Y48" s="327">
        <v>63.1</v>
      </c>
      <c r="Z48" s="346">
        <f>R49-W48</f>
        <v>0.32289743423461026</v>
      </c>
      <c r="AA48" s="346">
        <f>S49-W48</f>
        <v>-0.89234828948975498</v>
      </c>
      <c r="AB48" s="347">
        <f>T49-W48</f>
        <v>-0.85913801193238193</v>
      </c>
    </row>
    <row r="49" spans="2:28" ht="15.75" thickBot="1" x14ac:dyDescent="0.3">
      <c r="Q49" s="310">
        <v>63.1</v>
      </c>
      <c r="R49" s="337">
        <f>M37-M61</f>
        <v>6.8574342727661133</v>
      </c>
      <c r="S49" s="337">
        <f>N37-N61</f>
        <v>5.642188549041748</v>
      </c>
      <c r="T49" s="338">
        <f>O37-O61</f>
        <v>5.6753988265991211</v>
      </c>
      <c r="V49" s="348" t="s">
        <v>393</v>
      </c>
      <c r="W49" s="349">
        <f>AVERAGE(R47,R51)</f>
        <v>7.623985767364502</v>
      </c>
      <c r="Y49" s="310">
        <v>107.1</v>
      </c>
      <c r="Z49" s="350">
        <f>R47-W49</f>
        <v>0.34297084808349609</v>
      </c>
      <c r="AA49" s="350">
        <f>S47-W49</f>
        <v>-4.4766201972961426</v>
      </c>
      <c r="AB49" s="351">
        <f>T47-W49</f>
        <v>-4.6298370361328125</v>
      </c>
    </row>
    <row r="50" spans="2:28" ht="15.75" thickBot="1" x14ac:dyDescent="0.3">
      <c r="B50" s="303" t="s">
        <v>381</v>
      </c>
      <c r="C50" s="304" t="s">
        <v>140</v>
      </c>
      <c r="D50" s="305"/>
      <c r="E50" s="306"/>
      <c r="F50" s="306"/>
      <c r="G50" s="306"/>
      <c r="H50" s="306"/>
      <c r="I50" s="306"/>
      <c r="J50" s="306"/>
      <c r="K50" s="306"/>
      <c r="Q50" s="310"/>
      <c r="R50" s="337"/>
      <c r="S50" s="337"/>
      <c r="T50" s="338"/>
      <c r="Y50" s="352">
        <v>107.1</v>
      </c>
      <c r="Z50" s="353">
        <f>R51-W49</f>
        <v>-0.34297084808349609</v>
      </c>
      <c r="AA50" s="353">
        <f>S51-W49</f>
        <v>-4.0986440976460763</v>
      </c>
      <c r="AB50" s="354">
        <f>T51-W49</f>
        <v>-4.0051417350769043</v>
      </c>
    </row>
    <row r="51" spans="2:28" ht="15.75" thickBot="1" x14ac:dyDescent="0.3">
      <c r="B51" s="307"/>
      <c r="C51" s="308">
        <v>0</v>
      </c>
      <c r="D51" s="308" t="s">
        <v>382</v>
      </c>
      <c r="E51" s="309" t="s">
        <v>383</v>
      </c>
      <c r="G51" s="303" t="s">
        <v>394</v>
      </c>
      <c r="L51" s="303" t="s">
        <v>395</v>
      </c>
      <c r="Q51" s="310">
        <v>107.1</v>
      </c>
      <c r="R51" s="337">
        <f>M41-M65</f>
        <v>7.2810149192810059</v>
      </c>
      <c r="S51" s="337">
        <f>N41-N65</f>
        <v>3.5253416697184257</v>
      </c>
      <c r="T51" s="338">
        <f>O41-O65</f>
        <v>3.6188440322875977</v>
      </c>
    </row>
    <row r="52" spans="2:28" ht="15.75" thickBot="1" x14ac:dyDescent="0.3">
      <c r="B52" s="310">
        <v>63.1</v>
      </c>
      <c r="C52" s="311">
        <v>25.952995300292901</v>
      </c>
      <c r="D52" s="311">
        <v>25.070320129394531</v>
      </c>
      <c r="E52" s="312">
        <v>24.776666641235352</v>
      </c>
      <c r="G52" s="313"/>
      <c r="H52" s="308">
        <v>0</v>
      </c>
      <c r="I52" s="308" t="s">
        <v>382</v>
      </c>
      <c r="J52" s="309" t="s">
        <v>383</v>
      </c>
      <c r="L52" s="313"/>
      <c r="M52" s="308">
        <v>0</v>
      </c>
      <c r="N52" s="308" t="s">
        <v>382</v>
      </c>
      <c r="O52" s="309" t="s">
        <v>383</v>
      </c>
      <c r="Q52" s="352"/>
      <c r="R52" s="355"/>
      <c r="S52" s="355"/>
      <c r="T52" s="356"/>
    </row>
    <row r="53" spans="2:28" ht="15.75" thickBot="1" x14ac:dyDescent="0.3">
      <c r="B53" s="314"/>
      <c r="C53" s="311">
        <v>25.786123275756836</v>
      </c>
      <c r="D53" s="311">
        <v>25.125635147094727</v>
      </c>
      <c r="E53" s="312">
        <v>24.847238540649414</v>
      </c>
      <c r="G53" s="315">
        <v>63.1</v>
      </c>
      <c r="H53" s="317">
        <f t="shared" ref="H53:J54" si="10">C52</f>
        <v>25.952995300292901</v>
      </c>
      <c r="I53" s="317">
        <f t="shared" si="10"/>
        <v>25.070320129394531</v>
      </c>
      <c r="J53" s="318">
        <f t="shared" si="10"/>
        <v>24.776666641235352</v>
      </c>
      <c r="L53" s="315">
        <v>63.1</v>
      </c>
      <c r="M53" s="317">
        <f>AVERAGE(H53:H56)</f>
        <v>26.306387901306135</v>
      </c>
      <c r="N53" s="317">
        <f>AVERAGE(I53:I56)</f>
        <v>26.034261226654053</v>
      </c>
      <c r="O53" s="318">
        <f t="shared" ref="O53" si="11">AVERAGE(J53:J56)</f>
        <v>25.070341110229492</v>
      </c>
      <c r="Y53" s="303" t="s">
        <v>396</v>
      </c>
    </row>
    <row r="54" spans="2:28" ht="15.75" thickBot="1" x14ac:dyDescent="0.3">
      <c r="B54" s="310">
        <v>107.1</v>
      </c>
      <c r="C54" s="311">
        <v>24.331571578979492</v>
      </c>
      <c r="D54" s="311">
        <v>25.409400939941406</v>
      </c>
      <c r="E54" s="312">
        <v>25.412012100219727</v>
      </c>
      <c r="G54" s="310"/>
      <c r="H54" s="311">
        <f t="shared" si="10"/>
        <v>25.786123275756836</v>
      </c>
      <c r="I54" s="311">
        <f t="shared" si="10"/>
        <v>25.125635147094727</v>
      </c>
      <c r="J54" s="312">
        <f t="shared" si="10"/>
        <v>24.847238540649414</v>
      </c>
      <c r="L54" s="310"/>
      <c r="M54" s="311"/>
      <c r="N54" s="311"/>
      <c r="O54" s="312"/>
      <c r="Y54" s="313"/>
      <c r="Z54" s="308" t="s">
        <v>389</v>
      </c>
      <c r="AA54" s="308" t="s">
        <v>382</v>
      </c>
      <c r="AB54" s="309" t="s">
        <v>390</v>
      </c>
    </row>
    <row r="55" spans="2:28" x14ac:dyDescent="0.25">
      <c r="B55" s="320"/>
      <c r="C55" s="321">
        <v>24.404956817626953</v>
      </c>
      <c r="D55" s="321">
        <v>24.978822708129883</v>
      </c>
      <c r="E55" s="322">
        <v>25.187595367431641</v>
      </c>
      <c r="G55" s="310"/>
      <c r="H55" s="311">
        <f t="shared" ref="H55:J56" si="12">C63</f>
        <v>26.783025741577148</v>
      </c>
      <c r="I55" s="311">
        <f t="shared" si="12"/>
        <v>26.974586486816406</v>
      </c>
      <c r="J55" s="312">
        <f t="shared" si="12"/>
        <v>25.316020965576172</v>
      </c>
      <c r="L55" s="310"/>
      <c r="M55" s="311"/>
      <c r="N55" s="311"/>
      <c r="O55" s="312"/>
      <c r="Y55" s="315">
        <v>63.1</v>
      </c>
      <c r="Z55" s="340">
        <f>2^-Z47</f>
        <v>1.2508401507593099</v>
      </c>
      <c r="AA55" s="340">
        <f t="shared" ref="AA55:AB55" si="13">2^-AA47</f>
        <v>1.2650570120614069</v>
      </c>
      <c r="AB55" s="341">
        <f t="shared" si="13"/>
        <v>0.78795864887040945</v>
      </c>
    </row>
    <row r="56" spans="2:28" x14ac:dyDescent="0.25">
      <c r="B56" s="310">
        <v>63.1</v>
      </c>
      <c r="C56" s="311">
        <v>24.779638290405273</v>
      </c>
      <c r="D56" s="311">
        <v>25.375930786132813</v>
      </c>
      <c r="E56" s="312">
        <v>25.48931884765625</v>
      </c>
      <c r="G56" s="310"/>
      <c r="H56" s="311">
        <f t="shared" si="12"/>
        <v>26.703407287597656</v>
      </c>
      <c r="I56" s="311">
        <f t="shared" si="12"/>
        <v>26.966503143310547</v>
      </c>
      <c r="J56" s="312">
        <f t="shared" si="12"/>
        <v>25.341438293457031</v>
      </c>
      <c r="L56" s="310"/>
      <c r="M56" s="311"/>
      <c r="N56" s="311"/>
      <c r="O56" s="312"/>
      <c r="Y56" s="327">
        <v>63.1</v>
      </c>
      <c r="Z56" s="346">
        <f t="shared" ref="Z56:AB58" si="14">2^-Z48</f>
        <v>0.79946266466819127</v>
      </c>
      <c r="AA56" s="346">
        <f t="shared" si="14"/>
        <v>1.8561950138045902</v>
      </c>
      <c r="AB56" s="347">
        <f t="shared" si="14"/>
        <v>1.813954177106379</v>
      </c>
    </row>
    <row r="57" spans="2:28" x14ac:dyDescent="0.25">
      <c r="B57" s="314"/>
      <c r="C57" s="311">
        <v>24.580955505371094</v>
      </c>
      <c r="D57" s="311">
        <v>25.267190933227539</v>
      </c>
      <c r="E57" s="312">
        <v>24.130245208740234</v>
      </c>
      <c r="G57" s="310">
        <v>107.1</v>
      </c>
      <c r="H57" s="311">
        <f t="shared" ref="H57:J58" si="15">C54</f>
        <v>24.331571578979492</v>
      </c>
      <c r="I57" s="311">
        <f t="shared" si="15"/>
        <v>25.409400939941406</v>
      </c>
      <c r="J57" s="312">
        <f t="shared" si="15"/>
        <v>25.412012100219727</v>
      </c>
      <c r="L57" s="310">
        <v>107.1</v>
      </c>
      <c r="M57" s="311">
        <f>AVERAGE(H57:H60)</f>
        <v>24.880312442779541</v>
      </c>
      <c r="N57" s="311">
        <f>AVERAGE(I57:I60)</f>
        <v>25.352795600891113</v>
      </c>
      <c r="O57" s="312">
        <f t="shared" ref="O57" si="16">AVERAGE(J57:J60)</f>
        <v>25.990052700042725</v>
      </c>
      <c r="Y57" s="310">
        <v>107.1</v>
      </c>
      <c r="Z57" s="350">
        <f t="shared" si="14"/>
        <v>0.78841610507953919</v>
      </c>
      <c r="AA57" s="350">
        <f t="shared" si="14"/>
        <v>22.263680379640942</v>
      </c>
      <c r="AB57" s="351">
        <f t="shared" si="14"/>
        <v>24.758243098456873</v>
      </c>
    </row>
    <row r="58" spans="2:28" ht="15.75" thickBot="1" x14ac:dyDescent="0.3">
      <c r="B58" s="310">
        <v>107.1</v>
      </c>
      <c r="C58" s="311">
        <v>24.952827453613281</v>
      </c>
      <c r="D58" s="311">
        <v>25.422477722167969</v>
      </c>
      <c r="E58" s="312">
        <v>25.716037750244141</v>
      </c>
      <c r="G58" s="310"/>
      <c r="H58" s="311">
        <f t="shared" si="15"/>
        <v>24.404956817626953</v>
      </c>
      <c r="I58" s="311">
        <f t="shared" si="15"/>
        <v>24.978822708129883</v>
      </c>
      <c r="J58" s="312">
        <f t="shared" si="15"/>
        <v>25.187595367431641</v>
      </c>
      <c r="L58" s="310"/>
      <c r="M58" s="311"/>
      <c r="N58" s="311"/>
      <c r="O58" s="312"/>
      <c r="Y58" s="352">
        <v>107.1</v>
      </c>
      <c r="Z58" s="353">
        <f t="shared" si="14"/>
        <v>1.2683657697468207</v>
      </c>
      <c r="AA58" s="353">
        <f t="shared" si="14"/>
        <v>17.132266244465995</v>
      </c>
      <c r="AB58" s="354">
        <f t="shared" si="14"/>
        <v>16.057125403154412</v>
      </c>
    </row>
    <row r="59" spans="2:28" ht="15.75" thickBot="1" x14ac:dyDescent="0.3">
      <c r="B59" s="323"/>
      <c r="C59" s="324">
        <v>24.422441482543945</v>
      </c>
      <c r="D59" s="324">
        <v>25.335817337036133</v>
      </c>
      <c r="E59" s="326">
        <v>25.530405044555664</v>
      </c>
      <c r="G59" s="310"/>
      <c r="H59" s="311">
        <f t="shared" ref="H59:J60" si="17">C65</f>
        <v>25.431097030639648</v>
      </c>
      <c r="I59" s="311">
        <f t="shared" si="17"/>
        <v>25.419771194458008</v>
      </c>
      <c r="J59" s="312">
        <f t="shared" si="17"/>
        <v>26.643190383911133</v>
      </c>
      <c r="L59" s="310"/>
      <c r="M59" s="311"/>
      <c r="N59" s="311"/>
      <c r="O59" s="312"/>
    </row>
    <row r="60" spans="2:28" x14ac:dyDescent="0.25">
      <c r="G60" s="327"/>
      <c r="H60" s="321">
        <f t="shared" si="17"/>
        <v>25.35362434387207</v>
      </c>
      <c r="I60" s="321">
        <f t="shared" si="17"/>
        <v>25.603187561035156</v>
      </c>
      <c r="J60" s="322">
        <f t="shared" si="17"/>
        <v>26.717412948608398</v>
      </c>
      <c r="L60" s="327"/>
      <c r="M60" s="321"/>
      <c r="N60" s="321"/>
      <c r="O60" s="322"/>
    </row>
    <row r="61" spans="2:28" ht="15.75" thickBot="1" x14ac:dyDescent="0.3">
      <c r="B61" s="303" t="s">
        <v>386</v>
      </c>
      <c r="C61" s="304" t="s">
        <v>140</v>
      </c>
      <c r="D61" s="305"/>
      <c r="E61" s="306"/>
      <c r="F61" s="306"/>
      <c r="G61" s="310">
        <v>63.1</v>
      </c>
      <c r="H61" s="311">
        <f t="shared" ref="H61:J62" si="18">C56</f>
        <v>24.779638290405273</v>
      </c>
      <c r="I61" s="311">
        <f t="shared" si="18"/>
        <v>25.375930786132813</v>
      </c>
      <c r="J61" s="312">
        <f t="shared" si="18"/>
        <v>25.48931884765625</v>
      </c>
      <c r="K61" s="306"/>
      <c r="L61" s="310">
        <v>63.1</v>
      </c>
      <c r="M61" s="311">
        <f>AVERAGE(H61:H64)</f>
        <v>25.046912670135498</v>
      </c>
      <c r="N61" s="311">
        <f t="shared" ref="N61:O61" si="19">AVERAGE(I61:I64)</f>
        <v>25.400177478790283</v>
      </c>
      <c r="O61" s="312">
        <f t="shared" si="19"/>
        <v>24.978055953979492</v>
      </c>
      <c r="Y61" s="339" t="s">
        <v>397</v>
      </c>
      <c r="Z61" s="357"/>
      <c r="AA61" s="357"/>
      <c r="AB61" s="357"/>
    </row>
    <row r="62" spans="2:28" ht="15.75" thickBot="1" x14ac:dyDescent="0.3">
      <c r="B62" s="307"/>
      <c r="C62" s="308">
        <v>0</v>
      </c>
      <c r="D62" s="308" t="s">
        <v>382</v>
      </c>
      <c r="E62" s="309" t="s">
        <v>383</v>
      </c>
      <c r="G62" s="310"/>
      <c r="H62" s="311">
        <f t="shared" si="18"/>
        <v>24.580955505371094</v>
      </c>
      <c r="I62" s="311">
        <f t="shared" si="18"/>
        <v>25.267190933227539</v>
      </c>
      <c r="J62" s="312">
        <f t="shared" si="18"/>
        <v>24.130245208740234</v>
      </c>
      <c r="L62" s="310"/>
      <c r="M62" s="311"/>
      <c r="N62" s="311"/>
      <c r="O62" s="312"/>
      <c r="Y62" s="313"/>
      <c r="Z62" s="358" t="s">
        <v>389</v>
      </c>
      <c r="AA62" s="358" t="s">
        <v>382</v>
      </c>
      <c r="AB62" s="359" t="s">
        <v>390</v>
      </c>
    </row>
    <row r="63" spans="2:28" x14ac:dyDescent="0.25">
      <c r="B63" s="310">
        <v>63.1</v>
      </c>
      <c r="C63" s="311">
        <v>26.783025741577148</v>
      </c>
      <c r="D63" s="311">
        <v>26.974586486816406</v>
      </c>
      <c r="E63" s="312">
        <v>25.316020965576172</v>
      </c>
      <c r="G63" s="310"/>
      <c r="H63" s="311">
        <f t="shared" ref="H63:J64" si="20">C67</f>
        <v>25.528772354125977</v>
      </c>
      <c r="I63" s="311">
        <f t="shared" si="20"/>
        <v>25.549327850341797</v>
      </c>
      <c r="J63" s="312">
        <f t="shared" si="20"/>
        <v>25.176496505737305</v>
      </c>
      <c r="L63" s="310"/>
      <c r="M63" s="311"/>
      <c r="N63" s="311"/>
      <c r="O63" s="312"/>
      <c r="Y63" s="360">
        <v>63.1</v>
      </c>
      <c r="Z63" s="361">
        <f>AVERAGE(Z55:Z56)</f>
        <v>1.0251514077137505</v>
      </c>
      <c r="AA63" s="361">
        <f>AVERAGE(AA55:AA56)</f>
        <v>1.5606260129329985</v>
      </c>
      <c r="AB63" s="362">
        <f>AVERAGE(AB55:AB56)</f>
        <v>1.3009564129883942</v>
      </c>
    </row>
    <row r="64" spans="2:28" ht="15.75" thickBot="1" x14ac:dyDescent="0.3">
      <c r="B64" s="314"/>
      <c r="C64" s="311">
        <v>26.703407287597656</v>
      </c>
      <c r="D64" s="311">
        <v>26.966503143310547</v>
      </c>
      <c r="E64" s="312">
        <v>25.341438293457031</v>
      </c>
      <c r="G64" s="310"/>
      <c r="H64" s="311">
        <f t="shared" si="20"/>
        <v>25.298284530639648</v>
      </c>
      <c r="I64" s="311">
        <f t="shared" si="20"/>
        <v>25.408260345458984</v>
      </c>
      <c r="J64" s="312">
        <f t="shared" si="20"/>
        <v>25.11616325378418</v>
      </c>
      <c r="L64" s="310"/>
      <c r="M64" s="311"/>
      <c r="N64" s="311"/>
      <c r="O64" s="312"/>
      <c r="Y64" s="352">
        <v>107.1</v>
      </c>
      <c r="Z64" s="353">
        <f>AVERAGE(Z57:Z58)</f>
        <v>1.0283909374131799</v>
      </c>
      <c r="AA64" s="353">
        <f>AVERAGE(AA57:AA58)</f>
        <v>19.69797331205347</v>
      </c>
      <c r="AB64" s="354">
        <f>AVERAGE(AB57:AB58)</f>
        <v>20.407684250805644</v>
      </c>
    </row>
    <row r="65" spans="2:17" x14ac:dyDescent="0.25">
      <c r="B65" s="310">
        <v>107.1</v>
      </c>
      <c r="C65" s="311">
        <v>25.431097030639648</v>
      </c>
      <c r="D65" s="311">
        <v>25.419771194458008</v>
      </c>
      <c r="E65" s="312">
        <v>26.643190383911133</v>
      </c>
      <c r="G65" s="310">
        <v>107.1</v>
      </c>
      <c r="H65" s="311">
        <f t="shared" ref="H65:J66" si="21">C58</f>
        <v>24.952827453613281</v>
      </c>
      <c r="I65" s="311">
        <f t="shared" si="21"/>
        <v>25.422477722167969</v>
      </c>
      <c r="J65" s="312">
        <f t="shared" si="21"/>
        <v>25.716037750244141</v>
      </c>
      <c r="L65" s="310">
        <v>107.1</v>
      </c>
      <c r="M65" s="311">
        <f t="shared" ref="M65" si="22">AVERAGE(H65:H68)</f>
        <v>25.023343563079834</v>
      </c>
      <c r="N65" s="311">
        <f>AVERAGE(I65:I68)</f>
        <v>25.341583251953125</v>
      </c>
      <c r="O65" s="312">
        <f t="shared" ref="O65" si="23">AVERAGE(J65:J68)</f>
        <v>25.555562019348145</v>
      </c>
    </row>
    <row r="66" spans="2:17" x14ac:dyDescent="0.25">
      <c r="B66" s="320"/>
      <c r="C66" s="321">
        <v>25.35362434387207</v>
      </c>
      <c r="D66" s="321">
        <v>25.603187561035156</v>
      </c>
      <c r="E66" s="322">
        <v>26.717412948608398</v>
      </c>
      <c r="G66" s="329"/>
      <c r="H66" s="311">
        <f t="shared" si="21"/>
        <v>24.422441482543945</v>
      </c>
      <c r="I66" s="311">
        <f t="shared" si="21"/>
        <v>25.335817337036133</v>
      </c>
      <c r="J66" s="312">
        <f t="shared" si="21"/>
        <v>25.530405044555664</v>
      </c>
      <c r="L66" s="329"/>
      <c r="M66" s="311"/>
      <c r="N66" s="311"/>
      <c r="O66" s="312"/>
    </row>
    <row r="67" spans="2:17" x14ac:dyDescent="0.25">
      <c r="B67" s="310">
        <v>63.1</v>
      </c>
      <c r="C67" s="311">
        <v>25.528772354125977</v>
      </c>
      <c r="D67" s="311">
        <v>25.549327850341797</v>
      </c>
      <c r="E67" s="312">
        <v>25.176496505737305</v>
      </c>
      <c r="G67" s="329"/>
      <c r="H67" s="330">
        <f t="shared" ref="H67:J68" si="24">C69</f>
        <v>25.38499641418457</v>
      </c>
      <c r="I67" s="330">
        <f t="shared" si="24"/>
        <v>25.404897689819336</v>
      </c>
      <c r="J67" s="331">
        <f t="shared" si="24"/>
        <v>25.549047470092773</v>
      </c>
      <c r="L67" s="329"/>
      <c r="M67" s="311"/>
      <c r="N67" s="311"/>
      <c r="O67" s="312"/>
    </row>
    <row r="68" spans="2:17" ht="15.75" thickBot="1" x14ac:dyDescent="0.3">
      <c r="B68" s="314"/>
      <c r="C68" s="311">
        <v>25.298284530639648</v>
      </c>
      <c r="D68" s="311">
        <v>25.408260345458984</v>
      </c>
      <c r="E68" s="312">
        <v>25.11616325378418</v>
      </c>
      <c r="G68" s="332"/>
      <c r="H68" s="333">
        <f t="shared" si="24"/>
        <v>25.333108901977539</v>
      </c>
      <c r="I68" s="333">
        <f t="shared" si="24"/>
        <v>25.203140258789063</v>
      </c>
      <c r="J68" s="334">
        <f t="shared" si="24"/>
        <v>25.4267578125</v>
      </c>
      <c r="L68" s="332"/>
      <c r="M68" s="324"/>
      <c r="N68" s="324"/>
      <c r="O68" s="326"/>
    </row>
    <row r="69" spans="2:17" x14ac:dyDescent="0.25">
      <c r="B69" s="310">
        <v>107.1</v>
      </c>
      <c r="C69" s="311">
        <v>25.38499641418457</v>
      </c>
      <c r="D69" s="311">
        <v>25.404897689819336</v>
      </c>
      <c r="E69" s="312">
        <v>25.549047470092773</v>
      </c>
      <c r="Q69" s="363" t="s">
        <v>398</v>
      </c>
    </row>
    <row r="70" spans="2:17" ht="15.75" thickBot="1" x14ac:dyDescent="0.3">
      <c r="B70" s="323"/>
      <c r="C70" s="324">
        <v>25.333108901977539</v>
      </c>
      <c r="D70" s="324">
        <v>25.203140258789063</v>
      </c>
      <c r="E70" s="326">
        <v>25.4267578125</v>
      </c>
      <c r="Q70" s="363" t="s">
        <v>399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9"/>
  <sheetViews>
    <sheetView topLeftCell="A67" zoomScale="70" zoomScaleNormal="70" workbookViewId="0">
      <selection activeCell="D102" sqref="D102"/>
    </sheetView>
  </sheetViews>
  <sheetFormatPr defaultRowHeight="15.75" x14ac:dyDescent="0.25"/>
  <cols>
    <col min="1" max="1" width="8" style="2" customWidth="1"/>
    <col min="2" max="2" width="62.85546875" style="2" bestFit="1" customWidth="1"/>
    <col min="3" max="3" width="17.140625" style="2" customWidth="1"/>
    <col min="4" max="4" width="14.42578125" style="2" customWidth="1"/>
    <col min="5" max="5" width="22.7109375" style="2" customWidth="1"/>
    <col min="6" max="6" width="14" style="2" customWidth="1"/>
    <col min="7" max="7" width="16.140625" style="2" customWidth="1"/>
    <col min="8" max="8" width="14" style="2" customWidth="1"/>
    <col min="9" max="9" width="15.28515625" style="2" customWidth="1"/>
    <col min="10" max="10" width="16.42578125" style="2" customWidth="1"/>
    <col min="11" max="11" width="14.85546875" style="2" customWidth="1"/>
    <col min="12" max="12" width="23.42578125" style="2" bestFit="1" customWidth="1"/>
    <col min="13" max="13" width="16.140625" style="2" customWidth="1"/>
    <col min="14" max="14" width="16.7109375" style="2" customWidth="1"/>
    <col min="15" max="234" width="9.140625" style="2"/>
    <col min="235" max="235" width="19.7109375" style="2" customWidth="1"/>
    <col min="236" max="236" width="12.28515625" style="2" customWidth="1"/>
    <col min="237" max="237" width="8.28515625" style="2" customWidth="1"/>
    <col min="238" max="238" width="12.42578125" style="2" customWidth="1"/>
    <col min="239" max="239" width="11.42578125" style="2" customWidth="1"/>
    <col min="240" max="240" width="10.140625" style="2" customWidth="1"/>
    <col min="241" max="241" width="13.28515625" style="2" customWidth="1"/>
    <col min="242" max="242" width="23.5703125" style="2" customWidth="1"/>
    <col min="243" max="243" width="9.7109375" style="2" customWidth="1"/>
    <col min="244" max="490" width="9.140625" style="2"/>
    <col min="491" max="491" width="19.7109375" style="2" customWidth="1"/>
    <col min="492" max="492" width="12.28515625" style="2" customWidth="1"/>
    <col min="493" max="493" width="8.28515625" style="2" customWidth="1"/>
    <col min="494" max="494" width="12.42578125" style="2" customWidth="1"/>
    <col min="495" max="495" width="11.42578125" style="2" customWidth="1"/>
    <col min="496" max="496" width="10.140625" style="2" customWidth="1"/>
    <col min="497" max="497" width="13.28515625" style="2" customWidth="1"/>
    <col min="498" max="498" width="23.5703125" style="2" customWidth="1"/>
    <col min="499" max="499" width="9.7109375" style="2" customWidth="1"/>
    <col min="500" max="746" width="9.140625" style="2"/>
    <col min="747" max="747" width="19.7109375" style="2" customWidth="1"/>
    <col min="748" max="748" width="12.28515625" style="2" customWidth="1"/>
    <col min="749" max="749" width="8.28515625" style="2" customWidth="1"/>
    <col min="750" max="750" width="12.42578125" style="2" customWidth="1"/>
    <col min="751" max="751" width="11.42578125" style="2" customWidth="1"/>
    <col min="752" max="752" width="10.140625" style="2" customWidth="1"/>
    <col min="753" max="753" width="13.28515625" style="2" customWidth="1"/>
    <col min="754" max="754" width="23.5703125" style="2" customWidth="1"/>
    <col min="755" max="755" width="9.7109375" style="2" customWidth="1"/>
    <col min="756" max="1002" width="9.140625" style="2"/>
    <col min="1003" max="1003" width="19.7109375" style="2" customWidth="1"/>
    <col min="1004" max="1004" width="12.28515625" style="2" customWidth="1"/>
    <col min="1005" max="1005" width="8.28515625" style="2" customWidth="1"/>
    <col min="1006" max="1006" width="12.42578125" style="2" customWidth="1"/>
    <col min="1007" max="1007" width="11.42578125" style="2" customWidth="1"/>
    <col min="1008" max="1008" width="10.140625" style="2" customWidth="1"/>
    <col min="1009" max="1009" width="13.28515625" style="2" customWidth="1"/>
    <col min="1010" max="1010" width="23.5703125" style="2" customWidth="1"/>
    <col min="1011" max="1011" width="9.7109375" style="2" customWidth="1"/>
    <col min="1012" max="1258" width="9.140625" style="2"/>
    <col min="1259" max="1259" width="19.7109375" style="2" customWidth="1"/>
    <col min="1260" max="1260" width="12.28515625" style="2" customWidth="1"/>
    <col min="1261" max="1261" width="8.28515625" style="2" customWidth="1"/>
    <col min="1262" max="1262" width="12.42578125" style="2" customWidth="1"/>
    <col min="1263" max="1263" width="11.42578125" style="2" customWidth="1"/>
    <col min="1264" max="1264" width="10.140625" style="2" customWidth="1"/>
    <col min="1265" max="1265" width="13.28515625" style="2" customWidth="1"/>
    <col min="1266" max="1266" width="23.5703125" style="2" customWidth="1"/>
    <col min="1267" max="1267" width="9.7109375" style="2" customWidth="1"/>
    <col min="1268" max="1514" width="9.140625" style="2"/>
    <col min="1515" max="1515" width="19.7109375" style="2" customWidth="1"/>
    <col min="1516" max="1516" width="12.28515625" style="2" customWidth="1"/>
    <col min="1517" max="1517" width="8.28515625" style="2" customWidth="1"/>
    <col min="1518" max="1518" width="12.42578125" style="2" customWidth="1"/>
    <col min="1519" max="1519" width="11.42578125" style="2" customWidth="1"/>
    <col min="1520" max="1520" width="10.140625" style="2" customWidth="1"/>
    <col min="1521" max="1521" width="13.28515625" style="2" customWidth="1"/>
    <col min="1522" max="1522" width="23.5703125" style="2" customWidth="1"/>
    <col min="1523" max="1523" width="9.7109375" style="2" customWidth="1"/>
    <col min="1524" max="1770" width="9.140625" style="2"/>
    <col min="1771" max="1771" width="19.7109375" style="2" customWidth="1"/>
    <col min="1772" max="1772" width="12.28515625" style="2" customWidth="1"/>
    <col min="1773" max="1773" width="8.28515625" style="2" customWidth="1"/>
    <col min="1774" max="1774" width="12.42578125" style="2" customWidth="1"/>
    <col min="1775" max="1775" width="11.42578125" style="2" customWidth="1"/>
    <col min="1776" max="1776" width="10.140625" style="2" customWidth="1"/>
    <col min="1777" max="1777" width="13.28515625" style="2" customWidth="1"/>
    <col min="1778" max="1778" width="23.5703125" style="2" customWidth="1"/>
    <col min="1779" max="1779" width="9.7109375" style="2" customWidth="1"/>
    <col min="1780" max="2026" width="9.140625" style="2"/>
    <col min="2027" max="2027" width="19.7109375" style="2" customWidth="1"/>
    <col min="2028" max="2028" width="12.28515625" style="2" customWidth="1"/>
    <col min="2029" max="2029" width="8.28515625" style="2" customWidth="1"/>
    <col min="2030" max="2030" width="12.42578125" style="2" customWidth="1"/>
    <col min="2031" max="2031" width="11.42578125" style="2" customWidth="1"/>
    <col min="2032" max="2032" width="10.140625" style="2" customWidth="1"/>
    <col min="2033" max="2033" width="13.28515625" style="2" customWidth="1"/>
    <col min="2034" max="2034" width="23.5703125" style="2" customWidth="1"/>
    <col min="2035" max="2035" width="9.7109375" style="2" customWidth="1"/>
    <col min="2036" max="2282" width="9.140625" style="2"/>
    <col min="2283" max="2283" width="19.7109375" style="2" customWidth="1"/>
    <col min="2284" max="2284" width="12.28515625" style="2" customWidth="1"/>
    <col min="2285" max="2285" width="8.28515625" style="2" customWidth="1"/>
    <col min="2286" max="2286" width="12.42578125" style="2" customWidth="1"/>
    <col min="2287" max="2287" width="11.42578125" style="2" customWidth="1"/>
    <col min="2288" max="2288" width="10.140625" style="2" customWidth="1"/>
    <col min="2289" max="2289" width="13.28515625" style="2" customWidth="1"/>
    <col min="2290" max="2290" width="23.5703125" style="2" customWidth="1"/>
    <col min="2291" max="2291" width="9.7109375" style="2" customWidth="1"/>
    <col min="2292" max="2538" width="9.140625" style="2"/>
    <col min="2539" max="2539" width="19.7109375" style="2" customWidth="1"/>
    <col min="2540" max="2540" width="12.28515625" style="2" customWidth="1"/>
    <col min="2541" max="2541" width="8.28515625" style="2" customWidth="1"/>
    <col min="2542" max="2542" width="12.42578125" style="2" customWidth="1"/>
    <col min="2543" max="2543" width="11.42578125" style="2" customWidth="1"/>
    <col min="2544" max="2544" width="10.140625" style="2" customWidth="1"/>
    <col min="2545" max="2545" width="13.28515625" style="2" customWidth="1"/>
    <col min="2546" max="2546" width="23.5703125" style="2" customWidth="1"/>
    <col min="2547" max="2547" width="9.7109375" style="2" customWidth="1"/>
    <col min="2548" max="2794" width="9.140625" style="2"/>
    <col min="2795" max="2795" width="19.7109375" style="2" customWidth="1"/>
    <col min="2796" max="2796" width="12.28515625" style="2" customWidth="1"/>
    <col min="2797" max="2797" width="8.28515625" style="2" customWidth="1"/>
    <col min="2798" max="2798" width="12.42578125" style="2" customWidth="1"/>
    <col min="2799" max="2799" width="11.42578125" style="2" customWidth="1"/>
    <col min="2800" max="2800" width="10.140625" style="2" customWidth="1"/>
    <col min="2801" max="2801" width="13.28515625" style="2" customWidth="1"/>
    <col min="2802" max="2802" width="23.5703125" style="2" customWidth="1"/>
    <col min="2803" max="2803" width="9.7109375" style="2" customWidth="1"/>
    <col min="2804" max="3050" width="9.140625" style="2"/>
    <col min="3051" max="3051" width="19.7109375" style="2" customWidth="1"/>
    <col min="3052" max="3052" width="12.28515625" style="2" customWidth="1"/>
    <col min="3053" max="3053" width="8.28515625" style="2" customWidth="1"/>
    <col min="3054" max="3054" width="12.42578125" style="2" customWidth="1"/>
    <col min="3055" max="3055" width="11.42578125" style="2" customWidth="1"/>
    <col min="3056" max="3056" width="10.140625" style="2" customWidth="1"/>
    <col min="3057" max="3057" width="13.28515625" style="2" customWidth="1"/>
    <col min="3058" max="3058" width="23.5703125" style="2" customWidth="1"/>
    <col min="3059" max="3059" width="9.7109375" style="2" customWidth="1"/>
    <col min="3060" max="3306" width="9.140625" style="2"/>
    <col min="3307" max="3307" width="19.7109375" style="2" customWidth="1"/>
    <col min="3308" max="3308" width="12.28515625" style="2" customWidth="1"/>
    <col min="3309" max="3309" width="8.28515625" style="2" customWidth="1"/>
    <col min="3310" max="3310" width="12.42578125" style="2" customWidth="1"/>
    <col min="3311" max="3311" width="11.42578125" style="2" customWidth="1"/>
    <col min="3312" max="3312" width="10.140625" style="2" customWidth="1"/>
    <col min="3313" max="3313" width="13.28515625" style="2" customWidth="1"/>
    <col min="3314" max="3314" width="23.5703125" style="2" customWidth="1"/>
    <col min="3315" max="3315" width="9.7109375" style="2" customWidth="1"/>
    <col min="3316" max="3562" width="9.140625" style="2"/>
    <col min="3563" max="3563" width="19.7109375" style="2" customWidth="1"/>
    <col min="3564" max="3564" width="12.28515625" style="2" customWidth="1"/>
    <col min="3565" max="3565" width="8.28515625" style="2" customWidth="1"/>
    <col min="3566" max="3566" width="12.42578125" style="2" customWidth="1"/>
    <col min="3567" max="3567" width="11.42578125" style="2" customWidth="1"/>
    <col min="3568" max="3568" width="10.140625" style="2" customWidth="1"/>
    <col min="3569" max="3569" width="13.28515625" style="2" customWidth="1"/>
    <col min="3570" max="3570" width="23.5703125" style="2" customWidth="1"/>
    <col min="3571" max="3571" width="9.7109375" style="2" customWidth="1"/>
    <col min="3572" max="3818" width="9.140625" style="2"/>
    <col min="3819" max="3819" width="19.7109375" style="2" customWidth="1"/>
    <col min="3820" max="3820" width="12.28515625" style="2" customWidth="1"/>
    <col min="3821" max="3821" width="8.28515625" style="2" customWidth="1"/>
    <col min="3822" max="3822" width="12.42578125" style="2" customWidth="1"/>
    <col min="3823" max="3823" width="11.42578125" style="2" customWidth="1"/>
    <col min="3824" max="3824" width="10.140625" style="2" customWidth="1"/>
    <col min="3825" max="3825" width="13.28515625" style="2" customWidth="1"/>
    <col min="3826" max="3826" width="23.5703125" style="2" customWidth="1"/>
    <col min="3827" max="3827" width="9.7109375" style="2" customWidth="1"/>
    <col min="3828" max="4074" width="9.140625" style="2"/>
    <col min="4075" max="4075" width="19.7109375" style="2" customWidth="1"/>
    <col min="4076" max="4076" width="12.28515625" style="2" customWidth="1"/>
    <col min="4077" max="4077" width="8.28515625" style="2" customWidth="1"/>
    <col min="4078" max="4078" width="12.42578125" style="2" customWidth="1"/>
    <col min="4079" max="4079" width="11.42578125" style="2" customWidth="1"/>
    <col min="4080" max="4080" width="10.140625" style="2" customWidth="1"/>
    <col min="4081" max="4081" width="13.28515625" style="2" customWidth="1"/>
    <col min="4082" max="4082" width="23.5703125" style="2" customWidth="1"/>
    <col min="4083" max="4083" width="9.7109375" style="2" customWidth="1"/>
    <col min="4084" max="4330" width="9.140625" style="2"/>
    <col min="4331" max="4331" width="19.7109375" style="2" customWidth="1"/>
    <col min="4332" max="4332" width="12.28515625" style="2" customWidth="1"/>
    <col min="4333" max="4333" width="8.28515625" style="2" customWidth="1"/>
    <col min="4334" max="4334" width="12.42578125" style="2" customWidth="1"/>
    <col min="4335" max="4335" width="11.42578125" style="2" customWidth="1"/>
    <col min="4336" max="4336" width="10.140625" style="2" customWidth="1"/>
    <col min="4337" max="4337" width="13.28515625" style="2" customWidth="1"/>
    <col min="4338" max="4338" width="23.5703125" style="2" customWidth="1"/>
    <col min="4339" max="4339" width="9.7109375" style="2" customWidth="1"/>
    <col min="4340" max="4586" width="9.140625" style="2"/>
    <col min="4587" max="4587" width="19.7109375" style="2" customWidth="1"/>
    <col min="4588" max="4588" width="12.28515625" style="2" customWidth="1"/>
    <col min="4589" max="4589" width="8.28515625" style="2" customWidth="1"/>
    <col min="4590" max="4590" width="12.42578125" style="2" customWidth="1"/>
    <col min="4591" max="4591" width="11.42578125" style="2" customWidth="1"/>
    <col min="4592" max="4592" width="10.140625" style="2" customWidth="1"/>
    <col min="4593" max="4593" width="13.28515625" style="2" customWidth="1"/>
    <col min="4594" max="4594" width="23.5703125" style="2" customWidth="1"/>
    <col min="4595" max="4595" width="9.7109375" style="2" customWidth="1"/>
    <col min="4596" max="4842" width="9.140625" style="2"/>
    <col min="4843" max="4843" width="19.7109375" style="2" customWidth="1"/>
    <col min="4844" max="4844" width="12.28515625" style="2" customWidth="1"/>
    <col min="4845" max="4845" width="8.28515625" style="2" customWidth="1"/>
    <col min="4846" max="4846" width="12.42578125" style="2" customWidth="1"/>
    <col min="4847" max="4847" width="11.42578125" style="2" customWidth="1"/>
    <col min="4848" max="4848" width="10.140625" style="2" customWidth="1"/>
    <col min="4849" max="4849" width="13.28515625" style="2" customWidth="1"/>
    <col min="4850" max="4850" width="23.5703125" style="2" customWidth="1"/>
    <col min="4851" max="4851" width="9.7109375" style="2" customWidth="1"/>
    <col min="4852" max="5098" width="9.140625" style="2"/>
    <col min="5099" max="5099" width="19.7109375" style="2" customWidth="1"/>
    <col min="5100" max="5100" width="12.28515625" style="2" customWidth="1"/>
    <col min="5101" max="5101" width="8.28515625" style="2" customWidth="1"/>
    <col min="5102" max="5102" width="12.42578125" style="2" customWidth="1"/>
    <col min="5103" max="5103" width="11.42578125" style="2" customWidth="1"/>
    <col min="5104" max="5104" width="10.140625" style="2" customWidth="1"/>
    <col min="5105" max="5105" width="13.28515625" style="2" customWidth="1"/>
    <col min="5106" max="5106" width="23.5703125" style="2" customWidth="1"/>
    <col min="5107" max="5107" width="9.7109375" style="2" customWidth="1"/>
    <col min="5108" max="5354" width="9.140625" style="2"/>
    <col min="5355" max="5355" width="19.7109375" style="2" customWidth="1"/>
    <col min="5356" max="5356" width="12.28515625" style="2" customWidth="1"/>
    <col min="5357" max="5357" width="8.28515625" style="2" customWidth="1"/>
    <col min="5358" max="5358" width="12.42578125" style="2" customWidth="1"/>
    <col min="5359" max="5359" width="11.42578125" style="2" customWidth="1"/>
    <col min="5360" max="5360" width="10.140625" style="2" customWidth="1"/>
    <col min="5361" max="5361" width="13.28515625" style="2" customWidth="1"/>
    <col min="5362" max="5362" width="23.5703125" style="2" customWidth="1"/>
    <col min="5363" max="5363" width="9.7109375" style="2" customWidth="1"/>
    <col min="5364" max="5610" width="9.140625" style="2"/>
    <col min="5611" max="5611" width="19.7109375" style="2" customWidth="1"/>
    <col min="5612" max="5612" width="12.28515625" style="2" customWidth="1"/>
    <col min="5613" max="5613" width="8.28515625" style="2" customWidth="1"/>
    <col min="5614" max="5614" width="12.42578125" style="2" customWidth="1"/>
    <col min="5615" max="5615" width="11.42578125" style="2" customWidth="1"/>
    <col min="5616" max="5616" width="10.140625" style="2" customWidth="1"/>
    <col min="5617" max="5617" width="13.28515625" style="2" customWidth="1"/>
    <col min="5618" max="5618" width="23.5703125" style="2" customWidth="1"/>
    <col min="5619" max="5619" width="9.7109375" style="2" customWidth="1"/>
    <col min="5620" max="5866" width="9.140625" style="2"/>
    <col min="5867" max="5867" width="19.7109375" style="2" customWidth="1"/>
    <col min="5868" max="5868" width="12.28515625" style="2" customWidth="1"/>
    <col min="5869" max="5869" width="8.28515625" style="2" customWidth="1"/>
    <col min="5870" max="5870" width="12.42578125" style="2" customWidth="1"/>
    <col min="5871" max="5871" width="11.42578125" style="2" customWidth="1"/>
    <col min="5872" max="5872" width="10.140625" style="2" customWidth="1"/>
    <col min="5873" max="5873" width="13.28515625" style="2" customWidth="1"/>
    <col min="5874" max="5874" width="23.5703125" style="2" customWidth="1"/>
    <col min="5875" max="5875" width="9.7109375" style="2" customWidth="1"/>
    <col min="5876" max="6122" width="9.140625" style="2"/>
    <col min="6123" max="6123" width="19.7109375" style="2" customWidth="1"/>
    <col min="6124" max="6124" width="12.28515625" style="2" customWidth="1"/>
    <col min="6125" max="6125" width="8.28515625" style="2" customWidth="1"/>
    <col min="6126" max="6126" width="12.42578125" style="2" customWidth="1"/>
    <col min="6127" max="6127" width="11.42578125" style="2" customWidth="1"/>
    <col min="6128" max="6128" width="10.140625" style="2" customWidth="1"/>
    <col min="6129" max="6129" width="13.28515625" style="2" customWidth="1"/>
    <col min="6130" max="6130" width="23.5703125" style="2" customWidth="1"/>
    <col min="6131" max="6131" width="9.7109375" style="2" customWidth="1"/>
    <col min="6132" max="6378" width="9.140625" style="2"/>
    <col min="6379" max="6379" width="19.7109375" style="2" customWidth="1"/>
    <col min="6380" max="6380" width="12.28515625" style="2" customWidth="1"/>
    <col min="6381" max="6381" width="8.28515625" style="2" customWidth="1"/>
    <col min="6382" max="6382" width="12.42578125" style="2" customWidth="1"/>
    <col min="6383" max="6383" width="11.42578125" style="2" customWidth="1"/>
    <col min="6384" max="6384" width="10.140625" style="2" customWidth="1"/>
    <col min="6385" max="6385" width="13.28515625" style="2" customWidth="1"/>
    <col min="6386" max="6386" width="23.5703125" style="2" customWidth="1"/>
    <col min="6387" max="6387" width="9.7109375" style="2" customWidth="1"/>
    <col min="6388" max="6634" width="9.140625" style="2"/>
    <col min="6635" max="6635" width="19.7109375" style="2" customWidth="1"/>
    <col min="6636" max="6636" width="12.28515625" style="2" customWidth="1"/>
    <col min="6637" max="6637" width="8.28515625" style="2" customWidth="1"/>
    <col min="6638" max="6638" width="12.42578125" style="2" customWidth="1"/>
    <col min="6639" max="6639" width="11.42578125" style="2" customWidth="1"/>
    <col min="6640" max="6640" width="10.140625" style="2" customWidth="1"/>
    <col min="6641" max="6641" width="13.28515625" style="2" customWidth="1"/>
    <col min="6642" max="6642" width="23.5703125" style="2" customWidth="1"/>
    <col min="6643" max="6643" width="9.7109375" style="2" customWidth="1"/>
    <col min="6644" max="6890" width="9.140625" style="2"/>
    <col min="6891" max="6891" width="19.7109375" style="2" customWidth="1"/>
    <col min="6892" max="6892" width="12.28515625" style="2" customWidth="1"/>
    <col min="6893" max="6893" width="8.28515625" style="2" customWidth="1"/>
    <col min="6894" max="6894" width="12.42578125" style="2" customWidth="1"/>
    <col min="6895" max="6895" width="11.42578125" style="2" customWidth="1"/>
    <col min="6896" max="6896" width="10.140625" style="2" customWidth="1"/>
    <col min="6897" max="6897" width="13.28515625" style="2" customWidth="1"/>
    <col min="6898" max="6898" width="23.5703125" style="2" customWidth="1"/>
    <col min="6899" max="6899" width="9.7109375" style="2" customWidth="1"/>
    <col min="6900" max="7146" width="9.140625" style="2"/>
    <col min="7147" max="7147" width="19.7109375" style="2" customWidth="1"/>
    <col min="7148" max="7148" width="12.28515625" style="2" customWidth="1"/>
    <col min="7149" max="7149" width="8.28515625" style="2" customWidth="1"/>
    <col min="7150" max="7150" width="12.42578125" style="2" customWidth="1"/>
    <col min="7151" max="7151" width="11.42578125" style="2" customWidth="1"/>
    <col min="7152" max="7152" width="10.140625" style="2" customWidth="1"/>
    <col min="7153" max="7153" width="13.28515625" style="2" customWidth="1"/>
    <col min="7154" max="7154" width="23.5703125" style="2" customWidth="1"/>
    <col min="7155" max="7155" width="9.7109375" style="2" customWidth="1"/>
    <col min="7156" max="7402" width="9.140625" style="2"/>
    <col min="7403" max="7403" width="19.7109375" style="2" customWidth="1"/>
    <col min="7404" max="7404" width="12.28515625" style="2" customWidth="1"/>
    <col min="7405" max="7405" width="8.28515625" style="2" customWidth="1"/>
    <col min="7406" max="7406" width="12.42578125" style="2" customWidth="1"/>
    <col min="7407" max="7407" width="11.42578125" style="2" customWidth="1"/>
    <col min="7408" max="7408" width="10.140625" style="2" customWidth="1"/>
    <col min="7409" max="7409" width="13.28515625" style="2" customWidth="1"/>
    <col min="7410" max="7410" width="23.5703125" style="2" customWidth="1"/>
    <col min="7411" max="7411" width="9.7109375" style="2" customWidth="1"/>
    <col min="7412" max="7658" width="9.140625" style="2"/>
    <col min="7659" max="7659" width="19.7109375" style="2" customWidth="1"/>
    <col min="7660" max="7660" width="12.28515625" style="2" customWidth="1"/>
    <col min="7661" max="7661" width="8.28515625" style="2" customWidth="1"/>
    <col min="7662" max="7662" width="12.42578125" style="2" customWidth="1"/>
    <col min="7663" max="7663" width="11.42578125" style="2" customWidth="1"/>
    <col min="7664" max="7664" width="10.140625" style="2" customWidth="1"/>
    <col min="7665" max="7665" width="13.28515625" style="2" customWidth="1"/>
    <col min="7666" max="7666" width="23.5703125" style="2" customWidth="1"/>
    <col min="7667" max="7667" width="9.7109375" style="2" customWidth="1"/>
    <col min="7668" max="7914" width="9.140625" style="2"/>
    <col min="7915" max="7915" width="19.7109375" style="2" customWidth="1"/>
    <col min="7916" max="7916" width="12.28515625" style="2" customWidth="1"/>
    <col min="7917" max="7917" width="8.28515625" style="2" customWidth="1"/>
    <col min="7918" max="7918" width="12.42578125" style="2" customWidth="1"/>
    <col min="7919" max="7919" width="11.42578125" style="2" customWidth="1"/>
    <col min="7920" max="7920" width="10.140625" style="2" customWidth="1"/>
    <col min="7921" max="7921" width="13.28515625" style="2" customWidth="1"/>
    <col min="7922" max="7922" width="23.5703125" style="2" customWidth="1"/>
    <col min="7923" max="7923" width="9.7109375" style="2" customWidth="1"/>
    <col min="7924" max="8170" width="9.140625" style="2"/>
    <col min="8171" max="8171" width="19.7109375" style="2" customWidth="1"/>
    <col min="8172" max="8172" width="12.28515625" style="2" customWidth="1"/>
    <col min="8173" max="8173" width="8.28515625" style="2" customWidth="1"/>
    <col min="8174" max="8174" width="12.42578125" style="2" customWidth="1"/>
    <col min="8175" max="8175" width="11.42578125" style="2" customWidth="1"/>
    <col min="8176" max="8176" width="10.140625" style="2" customWidth="1"/>
    <col min="8177" max="8177" width="13.28515625" style="2" customWidth="1"/>
    <col min="8178" max="8178" width="23.5703125" style="2" customWidth="1"/>
    <col min="8179" max="8179" width="9.7109375" style="2" customWidth="1"/>
    <col min="8180" max="8426" width="9.140625" style="2"/>
    <col min="8427" max="8427" width="19.7109375" style="2" customWidth="1"/>
    <col min="8428" max="8428" width="12.28515625" style="2" customWidth="1"/>
    <col min="8429" max="8429" width="8.28515625" style="2" customWidth="1"/>
    <col min="8430" max="8430" width="12.42578125" style="2" customWidth="1"/>
    <col min="8431" max="8431" width="11.42578125" style="2" customWidth="1"/>
    <col min="8432" max="8432" width="10.140625" style="2" customWidth="1"/>
    <col min="8433" max="8433" width="13.28515625" style="2" customWidth="1"/>
    <col min="8434" max="8434" width="23.5703125" style="2" customWidth="1"/>
    <col min="8435" max="8435" width="9.7109375" style="2" customWidth="1"/>
    <col min="8436" max="8682" width="9.140625" style="2"/>
    <col min="8683" max="8683" width="19.7109375" style="2" customWidth="1"/>
    <col min="8684" max="8684" width="12.28515625" style="2" customWidth="1"/>
    <col min="8685" max="8685" width="8.28515625" style="2" customWidth="1"/>
    <col min="8686" max="8686" width="12.42578125" style="2" customWidth="1"/>
    <col min="8687" max="8687" width="11.42578125" style="2" customWidth="1"/>
    <col min="8688" max="8688" width="10.140625" style="2" customWidth="1"/>
    <col min="8689" max="8689" width="13.28515625" style="2" customWidth="1"/>
    <col min="8690" max="8690" width="23.5703125" style="2" customWidth="1"/>
    <col min="8691" max="8691" width="9.7109375" style="2" customWidth="1"/>
    <col min="8692" max="8938" width="9.140625" style="2"/>
    <col min="8939" max="8939" width="19.7109375" style="2" customWidth="1"/>
    <col min="8940" max="8940" width="12.28515625" style="2" customWidth="1"/>
    <col min="8941" max="8941" width="8.28515625" style="2" customWidth="1"/>
    <col min="8942" max="8942" width="12.42578125" style="2" customWidth="1"/>
    <col min="8943" max="8943" width="11.42578125" style="2" customWidth="1"/>
    <col min="8944" max="8944" width="10.140625" style="2" customWidth="1"/>
    <col min="8945" max="8945" width="13.28515625" style="2" customWidth="1"/>
    <col min="8946" max="8946" width="23.5703125" style="2" customWidth="1"/>
    <col min="8947" max="8947" width="9.7109375" style="2" customWidth="1"/>
    <col min="8948" max="9194" width="9.140625" style="2"/>
    <col min="9195" max="9195" width="19.7109375" style="2" customWidth="1"/>
    <col min="9196" max="9196" width="12.28515625" style="2" customWidth="1"/>
    <col min="9197" max="9197" width="8.28515625" style="2" customWidth="1"/>
    <col min="9198" max="9198" width="12.42578125" style="2" customWidth="1"/>
    <col min="9199" max="9199" width="11.42578125" style="2" customWidth="1"/>
    <col min="9200" max="9200" width="10.140625" style="2" customWidth="1"/>
    <col min="9201" max="9201" width="13.28515625" style="2" customWidth="1"/>
    <col min="9202" max="9202" width="23.5703125" style="2" customWidth="1"/>
    <col min="9203" max="9203" width="9.7109375" style="2" customWidth="1"/>
    <col min="9204" max="9450" width="9.140625" style="2"/>
    <col min="9451" max="9451" width="19.7109375" style="2" customWidth="1"/>
    <col min="9452" max="9452" width="12.28515625" style="2" customWidth="1"/>
    <col min="9453" max="9453" width="8.28515625" style="2" customWidth="1"/>
    <col min="9454" max="9454" width="12.42578125" style="2" customWidth="1"/>
    <col min="9455" max="9455" width="11.42578125" style="2" customWidth="1"/>
    <col min="9456" max="9456" width="10.140625" style="2" customWidth="1"/>
    <col min="9457" max="9457" width="13.28515625" style="2" customWidth="1"/>
    <col min="9458" max="9458" width="23.5703125" style="2" customWidth="1"/>
    <col min="9459" max="9459" width="9.7109375" style="2" customWidth="1"/>
    <col min="9460" max="9706" width="9.140625" style="2"/>
    <col min="9707" max="9707" width="19.7109375" style="2" customWidth="1"/>
    <col min="9708" max="9708" width="12.28515625" style="2" customWidth="1"/>
    <col min="9709" max="9709" width="8.28515625" style="2" customWidth="1"/>
    <col min="9710" max="9710" width="12.42578125" style="2" customWidth="1"/>
    <col min="9711" max="9711" width="11.42578125" style="2" customWidth="1"/>
    <col min="9712" max="9712" width="10.140625" style="2" customWidth="1"/>
    <col min="9713" max="9713" width="13.28515625" style="2" customWidth="1"/>
    <col min="9714" max="9714" width="23.5703125" style="2" customWidth="1"/>
    <col min="9715" max="9715" width="9.7109375" style="2" customWidth="1"/>
    <col min="9716" max="9962" width="9.140625" style="2"/>
    <col min="9963" max="9963" width="19.7109375" style="2" customWidth="1"/>
    <col min="9964" max="9964" width="12.28515625" style="2" customWidth="1"/>
    <col min="9965" max="9965" width="8.28515625" style="2" customWidth="1"/>
    <col min="9966" max="9966" width="12.42578125" style="2" customWidth="1"/>
    <col min="9967" max="9967" width="11.42578125" style="2" customWidth="1"/>
    <col min="9968" max="9968" width="10.140625" style="2" customWidth="1"/>
    <col min="9969" max="9969" width="13.28515625" style="2" customWidth="1"/>
    <col min="9970" max="9970" width="23.5703125" style="2" customWidth="1"/>
    <col min="9971" max="9971" width="9.7109375" style="2" customWidth="1"/>
    <col min="9972" max="10218" width="9.140625" style="2"/>
    <col min="10219" max="10219" width="19.7109375" style="2" customWidth="1"/>
    <col min="10220" max="10220" width="12.28515625" style="2" customWidth="1"/>
    <col min="10221" max="10221" width="8.28515625" style="2" customWidth="1"/>
    <col min="10222" max="10222" width="12.42578125" style="2" customWidth="1"/>
    <col min="10223" max="10223" width="11.42578125" style="2" customWidth="1"/>
    <col min="10224" max="10224" width="10.140625" style="2" customWidth="1"/>
    <col min="10225" max="10225" width="13.28515625" style="2" customWidth="1"/>
    <col min="10226" max="10226" width="23.5703125" style="2" customWidth="1"/>
    <col min="10227" max="10227" width="9.7109375" style="2" customWidth="1"/>
    <col min="10228" max="10474" width="9.140625" style="2"/>
    <col min="10475" max="10475" width="19.7109375" style="2" customWidth="1"/>
    <col min="10476" max="10476" width="12.28515625" style="2" customWidth="1"/>
    <col min="10477" max="10477" width="8.28515625" style="2" customWidth="1"/>
    <col min="10478" max="10478" width="12.42578125" style="2" customWidth="1"/>
    <col min="10479" max="10479" width="11.42578125" style="2" customWidth="1"/>
    <col min="10480" max="10480" width="10.140625" style="2" customWidth="1"/>
    <col min="10481" max="10481" width="13.28515625" style="2" customWidth="1"/>
    <col min="10482" max="10482" width="23.5703125" style="2" customWidth="1"/>
    <col min="10483" max="10483" width="9.7109375" style="2" customWidth="1"/>
    <col min="10484" max="10730" width="9.140625" style="2"/>
    <col min="10731" max="10731" width="19.7109375" style="2" customWidth="1"/>
    <col min="10732" max="10732" width="12.28515625" style="2" customWidth="1"/>
    <col min="10733" max="10733" width="8.28515625" style="2" customWidth="1"/>
    <col min="10734" max="10734" width="12.42578125" style="2" customWidth="1"/>
    <col min="10735" max="10735" width="11.42578125" style="2" customWidth="1"/>
    <col min="10736" max="10736" width="10.140625" style="2" customWidth="1"/>
    <col min="10737" max="10737" width="13.28515625" style="2" customWidth="1"/>
    <col min="10738" max="10738" width="23.5703125" style="2" customWidth="1"/>
    <col min="10739" max="10739" width="9.7109375" style="2" customWidth="1"/>
    <col min="10740" max="10986" width="9.140625" style="2"/>
    <col min="10987" max="10987" width="19.7109375" style="2" customWidth="1"/>
    <col min="10988" max="10988" width="12.28515625" style="2" customWidth="1"/>
    <col min="10989" max="10989" width="8.28515625" style="2" customWidth="1"/>
    <col min="10990" max="10990" width="12.42578125" style="2" customWidth="1"/>
    <col min="10991" max="10991" width="11.42578125" style="2" customWidth="1"/>
    <col min="10992" max="10992" width="10.140625" style="2" customWidth="1"/>
    <col min="10993" max="10993" width="13.28515625" style="2" customWidth="1"/>
    <col min="10994" max="10994" width="23.5703125" style="2" customWidth="1"/>
    <col min="10995" max="10995" width="9.7109375" style="2" customWidth="1"/>
    <col min="10996" max="11242" width="9.140625" style="2"/>
    <col min="11243" max="11243" width="19.7109375" style="2" customWidth="1"/>
    <col min="11244" max="11244" width="12.28515625" style="2" customWidth="1"/>
    <col min="11245" max="11245" width="8.28515625" style="2" customWidth="1"/>
    <col min="11246" max="11246" width="12.42578125" style="2" customWidth="1"/>
    <col min="11247" max="11247" width="11.42578125" style="2" customWidth="1"/>
    <col min="11248" max="11248" width="10.140625" style="2" customWidth="1"/>
    <col min="11249" max="11249" width="13.28515625" style="2" customWidth="1"/>
    <col min="11250" max="11250" width="23.5703125" style="2" customWidth="1"/>
    <col min="11251" max="11251" width="9.7109375" style="2" customWidth="1"/>
    <col min="11252" max="11498" width="9.140625" style="2"/>
    <col min="11499" max="11499" width="19.7109375" style="2" customWidth="1"/>
    <col min="11500" max="11500" width="12.28515625" style="2" customWidth="1"/>
    <col min="11501" max="11501" width="8.28515625" style="2" customWidth="1"/>
    <col min="11502" max="11502" width="12.42578125" style="2" customWidth="1"/>
    <col min="11503" max="11503" width="11.42578125" style="2" customWidth="1"/>
    <col min="11504" max="11504" width="10.140625" style="2" customWidth="1"/>
    <col min="11505" max="11505" width="13.28515625" style="2" customWidth="1"/>
    <col min="11506" max="11506" width="23.5703125" style="2" customWidth="1"/>
    <col min="11507" max="11507" width="9.7109375" style="2" customWidth="1"/>
    <col min="11508" max="11754" width="9.140625" style="2"/>
    <col min="11755" max="11755" width="19.7109375" style="2" customWidth="1"/>
    <col min="11756" max="11756" width="12.28515625" style="2" customWidth="1"/>
    <col min="11757" max="11757" width="8.28515625" style="2" customWidth="1"/>
    <col min="11758" max="11758" width="12.42578125" style="2" customWidth="1"/>
    <col min="11759" max="11759" width="11.42578125" style="2" customWidth="1"/>
    <col min="11760" max="11760" width="10.140625" style="2" customWidth="1"/>
    <col min="11761" max="11761" width="13.28515625" style="2" customWidth="1"/>
    <col min="11762" max="11762" width="23.5703125" style="2" customWidth="1"/>
    <col min="11763" max="11763" width="9.7109375" style="2" customWidth="1"/>
    <col min="11764" max="12010" width="9.140625" style="2"/>
    <col min="12011" max="12011" width="19.7109375" style="2" customWidth="1"/>
    <col min="12012" max="12012" width="12.28515625" style="2" customWidth="1"/>
    <col min="12013" max="12013" width="8.28515625" style="2" customWidth="1"/>
    <col min="12014" max="12014" width="12.42578125" style="2" customWidth="1"/>
    <col min="12015" max="12015" width="11.42578125" style="2" customWidth="1"/>
    <col min="12016" max="12016" width="10.140625" style="2" customWidth="1"/>
    <col min="12017" max="12017" width="13.28515625" style="2" customWidth="1"/>
    <col min="12018" max="12018" width="23.5703125" style="2" customWidth="1"/>
    <col min="12019" max="12019" width="9.7109375" style="2" customWidth="1"/>
    <col min="12020" max="12266" width="9.140625" style="2"/>
    <col min="12267" max="12267" width="19.7109375" style="2" customWidth="1"/>
    <col min="12268" max="12268" width="12.28515625" style="2" customWidth="1"/>
    <col min="12269" max="12269" width="8.28515625" style="2" customWidth="1"/>
    <col min="12270" max="12270" width="12.42578125" style="2" customWidth="1"/>
    <col min="12271" max="12271" width="11.42578125" style="2" customWidth="1"/>
    <col min="12272" max="12272" width="10.140625" style="2" customWidth="1"/>
    <col min="12273" max="12273" width="13.28515625" style="2" customWidth="1"/>
    <col min="12274" max="12274" width="23.5703125" style="2" customWidth="1"/>
    <col min="12275" max="12275" width="9.7109375" style="2" customWidth="1"/>
    <col min="12276" max="12522" width="9.140625" style="2"/>
    <col min="12523" max="12523" width="19.7109375" style="2" customWidth="1"/>
    <col min="12524" max="12524" width="12.28515625" style="2" customWidth="1"/>
    <col min="12525" max="12525" width="8.28515625" style="2" customWidth="1"/>
    <col min="12526" max="12526" width="12.42578125" style="2" customWidth="1"/>
    <col min="12527" max="12527" width="11.42578125" style="2" customWidth="1"/>
    <col min="12528" max="12528" width="10.140625" style="2" customWidth="1"/>
    <col min="12529" max="12529" width="13.28515625" style="2" customWidth="1"/>
    <col min="12530" max="12530" width="23.5703125" style="2" customWidth="1"/>
    <col min="12531" max="12531" width="9.7109375" style="2" customWidth="1"/>
    <col min="12532" max="12778" width="9.140625" style="2"/>
    <col min="12779" max="12779" width="19.7109375" style="2" customWidth="1"/>
    <col min="12780" max="12780" width="12.28515625" style="2" customWidth="1"/>
    <col min="12781" max="12781" width="8.28515625" style="2" customWidth="1"/>
    <col min="12782" max="12782" width="12.42578125" style="2" customWidth="1"/>
    <col min="12783" max="12783" width="11.42578125" style="2" customWidth="1"/>
    <col min="12784" max="12784" width="10.140625" style="2" customWidth="1"/>
    <col min="12785" max="12785" width="13.28515625" style="2" customWidth="1"/>
    <col min="12786" max="12786" width="23.5703125" style="2" customWidth="1"/>
    <col min="12787" max="12787" width="9.7109375" style="2" customWidth="1"/>
    <col min="12788" max="13034" width="9.140625" style="2"/>
    <col min="13035" max="13035" width="19.7109375" style="2" customWidth="1"/>
    <col min="13036" max="13036" width="12.28515625" style="2" customWidth="1"/>
    <col min="13037" max="13037" width="8.28515625" style="2" customWidth="1"/>
    <col min="13038" max="13038" width="12.42578125" style="2" customWidth="1"/>
    <col min="13039" max="13039" width="11.42578125" style="2" customWidth="1"/>
    <col min="13040" max="13040" width="10.140625" style="2" customWidth="1"/>
    <col min="13041" max="13041" width="13.28515625" style="2" customWidth="1"/>
    <col min="13042" max="13042" width="23.5703125" style="2" customWidth="1"/>
    <col min="13043" max="13043" width="9.7109375" style="2" customWidth="1"/>
    <col min="13044" max="13290" width="9.140625" style="2"/>
    <col min="13291" max="13291" width="19.7109375" style="2" customWidth="1"/>
    <col min="13292" max="13292" width="12.28515625" style="2" customWidth="1"/>
    <col min="13293" max="13293" width="8.28515625" style="2" customWidth="1"/>
    <col min="13294" max="13294" width="12.42578125" style="2" customWidth="1"/>
    <col min="13295" max="13295" width="11.42578125" style="2" customWidth="1"/>
    <col min="13296" max="13296" width="10.140625" style="2" customWidth="1"/>
    <col min="13297" max="13297" width="13.28515625" style="2" customWidth="1"/>
    <col min="13298" max="13298" width="23.5703125" style="2" customWidth="1"/>
    <col min="13299" max="13299" width="9.7109375" style="2" customWidth="1"/>
    <col min="13300" max="13546" width="9.140625" style="2"/>
    <col min="13547" max="13547" width="19.7109375" style="2" customWidth="1"/>
    <col min="13548" max="13548" width="12.28515625" style="2" customWidth="1"/>
    <col min="13549" max="13549" width="8.28515625" style="2" customWidth="1"/>
    <col min="13550" max="13550" width="12.42578125" style="2" customWidth="1"/>
    <col min="13551" max="13551" width="11.42578125" style="2" customWidth="1"/>
    <col min="13552" max="13552" width="10.140625" style="2" customWidth="1"/>
    <col min="13553" max="13553" width="13.28515625" style="2" customWidth="1"/>
    <col min="13554" max="13554" width="23.5703125" style="2" customWidth="1"/>
    <col min="13555" max="13555" width="9.7109375" style="2" customWidth="1"/>
    <col min="13556" max="13802" width="9.140625" style="2"/>
    <col min="13803" max="13803" width="19.7109375" style="2" customWidth="1"/>
    <col min="13804" max="13804" width="12.28515625" style="2" customWidth="1"/>
    <col min="13805" max="13805" width="8.28515625" style="2" customWidth="1"/>
    <col min="13806" max="13806" width="12.42578125" style="2" customWidth="1"/>
    <col min="13807" max="13807" width="11.42578125" style="2" customWidth="1"/>
    <col min="13808" max="13808" width="10.140625" style="2" customWidth="1"/>
    <col min="13809" max="13809" width="13.28515625" style="2" customWidth="1"/>
    <col min="13810" max="13810" width="23.5703125" style="2" customWidth="1"/>
    <col min="13811" max="13811" width="9.7109375" style="2" customWidth="1"/>
    <col min="13812" max="14058" width="9.140625" style="2"/>
    <col min="14059" max="14059" width="19.7109375" style="2" customWidth="1"/>
    <col min="14060" max="14060" width="12.28515625" style="2" customWidth="1"/>
    <col min="14061" max="14061" width="8.28515625" style="2" customWidth="1"/>
    <col min="14062" max="14062" width="12.42578125" style="2" customWidth="1"/>
    <col min="14063" max="14063" width="11.42578125" style="2" customWidth="1"/>
    <col min="14064" max="14064" width="10.140625" style="2" customWidth="1"/>
    <col min="14065" max="14065" width="13.28515625" style="2" customWidth="1"/>
    <col min="14066" max="14066" width="23.5703125" style="2" customWidth="1"/>
    <col min="14067" max="14067" width="9.7109375" style="2" customWidth="1"/>
    <col min="14068" max="14314" width="9.140625" style="2"/>
    <col min="14315" max="14315" width="19.7109375" style="2" customWidth="1"/>
    <col min="14316" max="14316" width="12.28515625" style="2" customWidth="1"/>
    <col min="14317" max="14317" width="8.28515625" style="2" customWidth="1"/>
    <col min="14318" max="14318" width="12.42578125" style="2" customWidth="1"/>
    <col min="14319" max="14319" width="11.42578125" style="2" customWidth="1"/>
    <col min="14320" max="14320" width="10.140625" style="2" customWidth="1"/>
    <col min="14321" max="14321" width="13.28515625" style="2" customWidth="1"/>
    <col min="14322" max="14322" width="23.5703125" style="2" customWidth="1"/>
    <col min="14323" max="14323" width="9.7109375" style="2" customWidth="1"/>
    <col min="14324" max="14570" width="9.140625" style="2"/>
    <col min="14571" max="14571" width="19.7109375" style="2" customWidth="1"/>
    <col min="14572" max="14572" width="12.28515625" style="2" customWidth="1"/>
    <col min="14573" max="14573" width="8.28515625" style="2" customWidth="1"/>
    <col min="14574" max="14574" width="12.42578125" style="2" customWidth="1"/>
    <col min="14575" max="14575" width="11.42578125" style="2" customWidth="1"/>
    <col min="14576" max="14576" width="10.140625" style="2" customWidth="1"/>
    <col min="14577" max="14577" width="13.28515625" style="2" customWidth="1"/>
    <col min="14578" max="14578" width="23.5703125" style="2" customWidth="1"/>
    <col min="14579" max="14579" width="9.7109375" style="2" customWidth="1"/>
    <col min="14580" max="14826" width="9.140625" style="2"/>
    <col min="14827" max="14827" width="19.7109375" style="2" customWidth="1"/>
    <col min="14828" max="14828" width="12.28515625" style="2" customWidth="1"/>
    <col min="14829" max="14829" width="8.28515625" style="2" customWidth="1"/>
    <col min="14830" max="14830" width="12.42578125" style="2" customWidth="1"/>
    <col min="14831" max="14831" width="11.42578125" style="2" customWidth="1"/>
    <col min="14832" max="14832" width="10.140625" style="2" customWidth="1"/>
    <col min="14833" max="14833" width="13.28515625" style="2" customWidth="1"/>
    <col min="14834" max="14834" width="23.5703125" style="2" customWidth="1"/>
    <col min="14835" max="14835" width="9.7109375" style="2" customWidth="1"/>
    <col min="14836" max="15082" width="9.140625" style="2"/>
    <col min="15083" max="15083" width="19.7109375" style="2" customWidth="1"/>
    <col min="15084" max="15084" width="12.28515625" style="2" customWidth="1"/>
    <col min="15085" max="15085" width="8.28515625" style="2" customWidth="1"/>
    <col min="15086" max="15086" width="12.42578125" style="2" customWidth="1"/>
    <col min="15087" max="15087" width="11.42578125" style="2" customWidth="1"/>
    <col min="15088" max="15088" width="10.140625" style="2" customWidth="1"/>
    <col min="15089" max="15089" width="13.28515625" style="2" customWidth="1"/>
    <col min="15090" max="15090" width="23.5703125" style="2" customWidth="1"/>
    <col min="15091" max="15091" width="9.7109375" style="2" customWidth="1"/>
    <col min="15092" max="15338" width="9.140625" style="2"/>
    <col min="15339" max="15339" width="19.7109375" style="2" customWidth="1"/>
    <col min="15340" max="15340" width="12.28515625" style="2" customWidth="1"/>
    <col min="15341" max="15341" width="8.28515625" style="2" customWidth="1"/>
    <col min="15342" max="15342" width="12.42578125" style="2" customWidth="1"/>
    <col min="15343" max="15343" width="11.42578125" style="2" customWidth="1"/>
    <col min="15344" max="15344" width="10.140625" style="2" customWidth="1"/>
    <col min="15345" max="15345" width="13.28515625" style="2" customWidth="1"/>
    <col min="15346" max="15346" width="23.5703125" style="2" customWidth="1"/>
    <col min="15347" max="15347" width="9.7109375" style="2" customWidth="1"/>
    <col min="15348" max="15594" width="9.140625" style="2"/>
    <col min="15595" max="15595" width="19.7109375" style="2" customWidth="1"/>
    <col min="15596" max="15596" width="12.28515625" style="2" customWidth="1"/>
    <col min="15597" max="15597" width="8.28515625" style="2" customWidth="1"/>
    <col min="15598" max="15598" width="12.42578125" style="2" customWidth="1"/>
    <col min="15599" max="15599" width="11.42578125" style="2" customWidth="1"/>
    <col min="15600" max="15600" width="10.140625" style="2" customWidth="1"/>
    <col min="15601" max="15601" width="13.28515625" style="2" customWidth="1"/>
    <col min="15602" max="15602" width="23.5703125" style="2" customWidth="1"/>
    <col min="15603" max="15603" width="9.7109375" style="2" customWidth="1"/>
    <col min="15604" max="15850" width="9.140625" style="2"/>
    <col min="15851" max="15851" width="19.7109375" style="2" customWidth="1"/>
    <col min="15852" max="15852" width="12.28515625" style="2" customWidth="1"/>
    <col min="15853" max="15853" width="8.28515625" style="2" customWidth="1"/>
    <col min="15854" max="15854" width="12.42578125" style="2" customWidth="1"/>
    <col min="15855" max="15855" width="11.42578125" style="2" customWidth="1"/>
    <col min="15856" max="15856" width="10.140625" style="2" customWidth="1"/>
    <col min="15857" max="15857" width="13.28515625" style="2" customWidth="1"/>
    <col min="15858" max="15858" width="23.5703125" style="2" customWidth="1"/>
    <col min="15859" max="15859" width="9.7109375" style="2" customWidth="1"/>
    <col min="15860" max="16106" width="9.140625" style="2"/>
    <col min="16107" max="16107" width="19.7109375" style="2" customWidth="1"/>
    <col min="16108" max="16108" width="12.28515625" style="2" customWidth="1"/>
    <col min="16109" max="16109" width="8.28515625" style="2" customWidth="1"/>
    <col min="16110" max="16110" width="12.42578125" style="2" customWidth="1"/>
    <col min="16111" max="16111" width="11.42578125" style="2" customWidth="1"/>
    <col min="16112" max="16112" width="10.140625" style="2" customWidth="1"/>
    <col min="16113" max="16113" width="13.28515625" style="2" customWidth="1"/>
    <col min="16114" max="16114" width="23.5703125" style="2" customWidth="1"/>
    <col min="16115" max="16115" width="9.7109375" style="2" customWidth="1"/>
    <col min="16116" max="16384" width="9.140625" style="2"/>
  </cols>
  <sheetData>
    <row r="1" spans="1:13" x14ac:dyDescent="0.25">
      <c r="B1" s="1" t="s">
        <v>0</v>
      </c>
      <c r="C1" s="2" t="s">
        <v>81</v>
      </c>
    </row>
    <row r="2" spans="1:13" x14ac:dyDescent="0.25">
      <c r="B2" s="3" t="s">
        <v>1</v>
      </c>
      <c r="C2" s="2" t="s">
        <v>72</v>
      </c>
    </row>
    <row r="3" spans="1:13" x14ac:dyDescent="0.25">
      <c r="B3" s="2" t="s">
        <v>2</v>
      </c>
      <c r="K3" s="4" t="s">
        <v>73</v>
      </c>
      <c r="L3" s="5"/>
    </row>
    <row r="4" spans="1:13" x14ac:dyDescent="0.25">
      <c r="B4" s="57" t="s">
        <v>40</v>
      </c>
    </row>
    <row r="5" spans="1:13" x14ac:dyDescent="0.25">
      <c r="B5" s="6" t="s">
        <v>74</v>
      </c>
      <c r="C5" s="7"/>
      <c r="D5" s="7"/>
      <c r="E5" s="7"/>
      <c r="F5" s="7"/>
      <c r="G5" s="7"/>
      <c r="H5" s="7"/>
      <c r="I5" s="7"/>
      <c r="J5" s="7"/>
      <c r="K5" s="6"/>
    </row>
    <row r="6" spans="1:13" x14ac:dyDescent="0.25">
      <c r="K6" s="3"/>
    </row>
    <row r="7" spans="1:13" x14ac:dyDescent="0.25">
      <c r="A7" s="10"/>
      <c r="B7" s="10"/>
      <c r="C7" s="8"/>
      <c r="D7" s="8" t="s">
        <v>3</v>
      </c>
      <c r="E7" s="9" t="s">
        <v>4</v>
      </c>
      <c r="F7" s="58" t="s">
        <v>91</v>
      </c>
      <c r="G7" s="283" t="s">
        <v>48</v>
      </c>
      <c r="H7" s="284"/>
      <c r="I7" s="284"/>
      <c r="J7" s="277"/>
      <c r="K7" s="10"/>
      <c r="L7" s="10"/>
    </row>
    <row r="8" spans="1:13" x14ac:dyDescent="0.25">
      <c r="A8" s="10"/>
      <c r="B8" s="8"/>
      <c r="C8" s="8"/>
      <c r="D8" s="8" t="s">
        <v>5</v>
      </c>
      <c r="E8" s="8" t="s">
        <v>5</v>
      </c>
      <c r="F8" s="8" t="s">
        <v>6</v>
      </c>
      <c r="G8" s="8" t="s">
        <v>47</v>
      </c>
      <c r="H8" s="8" t="s">
        <v>46</v>
      </c>
      <c r="I8" s="8" t="s">
        <v>49</v>
      </c>
      <c r="J8" s="9" t="s">
        <v>45</v>
      </c>
      <c r="K8" s="8" t="s">
        <v>7</v>
      </c>
      <c r="L8" s="8" t="s">
        <v>8</v>
      </c>
      <c r="M8" s="8" t="s">
        <v>9</v>
      </c>
    </row>
    <row r="9" spans="1:13" x14ac:dyDescent="0.25">
      <c r="A9" s="37">
        <v>1</v>
      </c>
      <c r="B9" t="s">
        <v>99</v>
      </c>
      <c r="C9" s="38"/>
      <c r="D9">
        <v>364.80200000000002</v>
      </c>
      <c r="E9" s="39">
        <f>AVERAGE(D9:D9)</f>
        <v>364.80200000000002</v>
      </c>
      <c r="F9" s="39">
        <f t="shared" ref="F9:F24" si="0">1000/E9</f>
        <v>2.7412130415951665</v>
      </c>
      <c r="G9" s="60">
        <v>2.2000000000000002</v>
      </c>
      <c r="H9" s="60">
        <v>1.1000000000000001</v>
      </c>
      <c r="I9" s="60">
        <v>2.2000000000000002</v>
      </c>
      <c r="J9" s="39">
        <f t="shared" ref="J9:J24" si="1">M9-SUM(F9:I9,L9)</f>
        <v>14.558786958404834</v>
      </c>
      <c r="K9" s="39">
        <v>1.1000000000000001</v>
      </c>
      <c r="L9" s="40">
        <v>2.2000000000000002</v>
      </c>
      <c r="M9" s="40">
        <v>25</v>
      </c>
    </row>
    <row r="10" spans="1:13" x14ac:dyDescent="0.25">
      <c r="A10" s="37">
        <v>2</v>
      </c>
      <c r="B10" t="s">
        <v>100</v>
      </c>
      <c r="C10" s="38"/>
      <c r="D10">
        <v>346.43599999999998</v>
      </c>
      <c r="E10" s="39">
        <f t="shared" ref="E10:E14" si="2">AVERAGE(D10:D10)</f>
        <v>346.43599999999998</v>
      </c>
      <c r="F10" s="39">
        <f t="shared" si="0"/>
        <v>2.8865360412890118</v>
      </c>
      <c r="G10" s="60">
        <v>2.2000000000000002</v>
      </c>
      <c r="H10" s="60">
        <v>1.1000000000000001</v>
      </c>
      <c r="I10" s="60">
        <v>2.2000000000000002</v>
      </c>
      <c r="J10" s="39">
        <f t="shared" si="1"/>
        <v>14.413463958710988</v>
      </c>
      <c r="K10" s="39">
        <v>1.1000000000000001</v>
      </c>
      <c r="L10" s="40">
        <v>2.2000000000000002</v>
      </c>
      <c r="M10" s="40">
        <v>25</v>
      </c>
    </row>
    <row r="11" spans="1:13" x14ac:dyDescent="0.25">
      <c r="A11" s="37">
        <v>3</v>
      </c>
      <c r="B11" t="s">
        <v>101</v>
      </c>
      <c r="C11" s="38"/>
      <c r="D11">
        <v>317.66199999999998</v>
      </c>
      <c r="E11" s="39">
        <f t="shared" si="2"/>
        <v>317.66199999999998</v>
      </c>
      <c r="F11" s="39">
        <f t="shared" si="0"/>
        <v>3.1480000755520021</v>
      </c>
      <c r="G11" s="60">
        <v>2.2000000000000002</v>
      </c>
      <c r="H11" s="60">
        <v>1.1000000000000001</v>
      </c>
      <c r="I11" s="60">
        <v>2.2000000000000002</v>
      </c>
      <c r="J11" s="39">
        <f t="shared" si="1"/>
        <v>14.151999924447999</v>
      </c>
      <c r="K11" s="39">
        <v>1.1000000000000001</v>
      </c>
      <c r="L11" s="40">
        <v>2.2000000000000002</v>
      </c>
      <c r="M11" s="40">
        <v>25</v>
      </c>
    </row>
    <row r="12" spans="1:13" x14ac:dyDescent="0.25">
      <c r="A12" s="37">
        <v>4</v>
      </c>
      <c r="B12" t="s">
        <v>102</v>
      </c>
      <c r="C12" s="38"/>
      <c r="D12">
        <v>346.39600000000002</v>
      </c>
      <c r="E12" s="39">
        <f t="shared" si="2"/>
        <v>346.39600000000002</v>
      </c>
      <c r="F12" s="39">
        <f t="shared" si="0"/>
        <v>2.8868693633875679</v>
      </c>
      <c r="G12" s="60">
        <v>2.2000000000000002</v>
      </c>
      <c r="H12" s="60">
        <v>1.1000000000000001</v>
      </c>
      <c r="I12" s="60">
        <v>2.2000000000000002</v>
      </c>
      <c r="J12" s="39">
        <f t="shared" si="1"/>
        <v>14.413130636612433</v>
      </c>
      <c r="K12" s="39">
        <v>1.1000000000000001</v>
      </c>
      <c r="L12" s="40">
        <v>2.2000000000000002</v>
      </c>
      <c r="M12" s="40">
        <v>25</v>
      </c>
    </row>
    <row r="13" spans="1:13" x14ac:dyDescent="0.25">
      <c r="A13" s="37">
        <v>5</v>
      </c>
      <c r="B13" t="s">
        <v>103</v>
      </c>
      <c r="C13" s="38"/>
      <c r="D13">
        <v>256.61900000000003</v>
      </c>
      <c r="E13" s="39">
        <f t="shared" si="2"/>
        <v>256.61900000000003</v>
      </c>
      <c r="F13" s="39">
        <f t="shared" si="0"/>
        <v>3.8968275926568174</v>
      </c>
      <c r="G13" s="60">
        <v>2.2000000000000002</v>
      </c>
      <c r="H13" s="60">
        <v>1.1000000000000001</v>
      </c>
      <c r="I13" s="60">
        <v>2.2000000000000002</v>
      </c>
      <c r="J13" s="39">
        <f t="shared" si="1"/>
        <v>13.403172407343185</v>
      </c>
      <c r="K13" s="39">
        <v>1.1000000000000001</v>
      </c>
      <c r="L13" s="40">
        <v>2.2000000000000002</v>
      </c>
      <c r="M13" s="40">
        <v>25</v>
      </c>
    </row>
    <row r="14" spans="1:13" x14ac:dyDescent="0.25">
      <c r="A14" s="37">
        <v>6</v>
      </c>
      <c r="B14" t="s">
        <v>104</v>
      </c>
      <c r="C14" s="38"/>
      <c r="D14">
        <v>305.78699999999998</v>
      </c>
      <c r="E14" s="39">
        <f t="shared" si="2"/>
        <v>305.78699999999998</v>
      </c>
      <c r="F14" s="39">
        <f t="shared" si="0"/>
        <v>3.2702502068433259</v>
      </c>
      <c r="G14" s="60">
        <v>2.2000000000000002</v>
      </c>
      <c r="H14" s="60">
        <v>1.1000000000000001</v>
      </c>
      <c r="I14" s="60">
        <v>2.2000000000000002</v>
      </c>
      <c r="J14" s="39">
        <f t="shared" si="1"/>
        <v>14.029749793156675</v>
      </c>
      <c r="K14" s="39">
        <v>1.1000000000000001</v>
      </c>
      <c r="L14" s="40">
        <v>2.2000000000000002</v>
      </c>
      <c r="M14" s="40">
        <v>25</v>
      </c>
    </row>
    <row r="15" spans="1:13" x14ac:dyDescent="0.25">
      <c r="A15" s="37">
        <v>7</v>
      </c>
      <c r="B15" t="s">
        <v>105</v>
      </c>
      <c r="C15" s="38"/>
      <c r="D15">
        <v>436.745</v>
      </c>
      <c r="E15" s="39">
        <f>AVERAGE(D15:D15)</f>
        <v>436.745</v>
      </c>
      <c r="F15" s="39">
        <f t="shared" si="0"/>
        <v>2.2896655943399464</v>
      </c>
      <c r="G15" s="60">
        <v>2.2000000000000002</v>
      </c>
      <c r="H15" s="60">
        <v>1.1000000000000001</v>
      </c>
      <c r="I15" s="60">
        <v>2.2000000000000002</v>
      </c>
      <c r="J15" s="39">
        <f t="shared" si="1"/>
        <v>15.010334405660053</v>
      </c>
      <c r="K15" s="39">
        <v>1.1000000000000001</v>
      </c>
      <c r="L15" s="40">
        <v>2.2000000000000002</v>
      </c>
      <c r="M15" s="40">
        <v>25</v>
      </c>
    </row>
    <row r="16" spans="1:13" x14ac:dyDescent="0.25">
      <c r="A16" s="37">
        <v>8</v>
      </c>
      <c r="B16" t="s">
        <v>106</v>
      </c>
      <c r="C16" s="38"/>
      <c r="D16">
        <v>514.05499999999995</v>
      </c>
      <c r="E16" s="39">
        <f t="shared" ref="E16:E19" si="3">AVERAGE(D16:D16)</f>
        <v>514.05499999999995</v>
      </c>
      <c r="F16" s="39">
        <f t="shared" si="0"/>
        <v>1.9453171353259866</v>
      </c>
      <c r="G16" s="60">
        <v>2.2000000000000002</v>
      </c>
      <c r="H16" s="60">
        <v>1.1000000000000001</v>
      </c>
      <c r="I16" s="60">
        <v>2.2000000000000002</v>
      </c>
      <c r="J16" s="39">
        <f t="shared" si="1"/>
        <v>15.354682864674013</v>
      </c>
      <c r="K16" s="39">
        <v>1.1000000000000001</v>
      </c>
      <c r="L16" s="40">
        <v>2.2000000000000002</v>
      </c>
      <c r="M16" s="40">
        <v>25</v>
      </c>
    </row>
    <row r="17" spans="1:13" x14ac:dyDescent="0.25">
      <c r="A17" s="37">
        <v>9</v>
      </c>
      <c r="B17" t="s">
        <v>107</v>
      </c>
      <c r="C17" s="38"/>
      <c r="D17">
        <v>271.41699999999997</v>
      </c>
      <c r="E17" s="39">
        <f t="shared" si="3"/>
        <v>271.41699999999997</v>
      </c>
      <c r="F17" s="39">
        <f t="shared" si="0"/>
        <v>3.6843675967238605</v>
      </c>
      <c r="G17" s="60">
        <v>2.2000000000000002</v>
      </c>
      <c r="H17" s="60">
        <v>1.1000000000000001</v>
      </c>
      <c r="I17" s="60">
        <v>2.2000000000000002</v>
      </c>
      <c r="J17" s="39">
        <f t="shared" si="1"/>
        <v>13.615632403276141</v>
      </c>
      <c r="K17" s="39">
        <v>1.1000000000000001</v>
      </c>
      <c r="L17" s="40">
        <v>2.2000000000000002</v>
      </c>
      <c r="M17" s="40">
        <v>25</v>
      </c>
    </row>
    <row r="18" spans="1:13" x14ac:dyDescent="0.25">
      <c r="A18" s="37">
        <v>10</v>
      </c>
      <c r="B18" t="s">
        <v>108</v>
      </c>
      <c r="C18" s="38"/>
      <c r="D18">
        <v>194.09299999999999</v>
      </c>
      <c r="E18" s="39">
        <f t="shared" si="3"/>
        <v>194.09299999999999</v>
      </c>
      <c r="F18" s="39">
        <f t="shared" si="0"/>
        <v>5.1521693208925621</v>
      </c>
      <c r="G18" s="60">
        <v>2.2000000000000002</v>
      </c>
      <c r="H18" s="60">
        <v>1.1000000000000001</v>
      </c>
      <c r="I18" s="60">
        <v>2.2000000000000002</v>
      </c>
      <c r="J18" s="39">
        <f t="shared" si="1"/>
        <v>12.14783067910744</v>
      </c>
      <c r="K18" s="39">
        <v>1.1000000000000001</v>
      </c>
      <c r="L18" s="40">
        <v>2.2000000000000002</v>
      </c>
      <c r="M18" s="40">
        <v>25</v>
      </c>
    </row>
    <row r="19" spans="1:13" x14ac:dyDescent="0.25">
      <c r="A19" s="37">
        <v>11</v>
      </c>
      <c r="B19" t="s">
        <v>109</v>
      </c>
      <c r="C19" s="38"/>
      <c r="D19">
        <v>221.905</v>
      </c>
      <c r="E19" s="39">
        <f t="shared" si="3"/>
        <v>221.905</v>
      </c>
      <c r="F19" s="39">
        <f t="shared" si="0"/>
        <v>4.5064329330118742</v>
      </c>
      <c r="G19" s="60">
        <v>2.2000000000000002</v>
      </c>
      <c r="H19" s="60">
        <v>1.1000000000000001</v>
      </c>
      <c r="I19" s="60">
        <v>2.2000000000000002</v>
      </c>
      <c r="J19" s="39">
        <f t="shared" si="1"/>
        <v>12.793567066988125</v>
      </c>
      <c r="K19" s="39">
        <v>1.1000000000000001</v>
      </c>
      <c r="L19" s="40">
        <v>2.2000000000000002</v>
      </c>
      <c r="M19" s="40">
        <v>25</v>
      </c>
    </row>
    <row r="20" spans="1:13" x14ac:dyDescent="0.25">
      <c r="A20" s="37">
        <v>12</v>
      </c>
      <c r="B20" t="s">
        <v>110</v>
      </c>
      <c r="C20" s="38"/>
      <c r="D20">
        <v>273.26499999999999</v>
      </c>
      <c r="E20" s="39">
        <f>AVERAGE(D20:D20)</f>
        <v>273.26499999999999</v>
      </c>
      <c r="F20" s="39">
        <f t="shared" si="0"/>
        <v>3.659451448227911</v>
      </c>
      <c r="G20" s="60">
        <v>2.2000000000000002</v>
      </c>
      <c r="H20" s="60">
        <v>1.1000000000000001</v>
      </c>
      <c r="I20" s="60">
        <v>2.2000000000000002</v>
      </c>
      <c r="J20" s="39">
        <f t="shared" si="1"/>
        <v>13.640548551772088</v>
      </c>
      <c r="K20" s="39">
        <v>1.1000000000000001</v>
      </c>
      <c r="L20" s="40">
        <v>2.2000000000000002</v>
      </c>
      <c r="M20" s="40">
        <v>25</v>
      </c>
    </row>
    <row r="21" spans="1:13" x14ac:dyDescent="0.25">
      <c r="A21" s="37">
        <v>13</v>
      </c>
      <c r="B21" t="s">
        <v>111</v>
      </c>
      <c r="C21" s="38"/>
      <c r="D21">
        <v>491.06900000000002</v>
      </c>
      <c r="E21" s="39">
        <f t="shared" ref="E21:E24" si="4">AVERAGE(D21:D21)</f>
        <v>491.06900000000002</v>
      </c>
      <c r="F21" s="39">
        <f t="shared" si="0"/>
        <v>2.0363737071572428</v>
      </c>
      <c r="G21" s="60">
        <v>2.2000000000000002</v>
      </c>
      <c r="H21" s="60">
        <v>1.1000000000000001</v>
      </c>
      <c r="I21" s="60">
        <v>2.2000000000000002</v>
      </c>
      <c r="J21" s="39">
        <f t="shared" si="1"/>
        <v>15.263626292842757</v>
      </c>
      <c r="K21" s="39">
        <v>1.1000000000000001</v>
      </c>
      <c r="L21" s="40">
        <v>2.2000000000000002</v>
      </c>
      <c r="M21" s="40">
        <v>25</v>
      </c>
    </row>
    <row r="22" spans="1:13" x14ac:dyDescent="0.25">
      <c r="A22" s="37">
        <v>14</v>
      </c>
      <c r="B22" t="s">
        <v>112</v>
      </c>
      <c r="C22" s="38"/>
      <c r="D22">
        <v>398.649</v>
      </c>
      <c r="E22" s="39">
        <f t="shared" si="4"/>
        <v>398.649</v>
      </c>
      <c r="F22" s="39">
        <f t="shared" si="0"/>
        <v>2.5084723654141863</v>
      </c>
      <c r="G22" s="60">
        <v>2.2000000000000002</v>
      </c>
      <c r="H22" s="60">
        <v>1.1000000000000001</v>
      </c>
      <c r="I22" s="60">
        <v>2.2000000000000002</v>
      </c>
      <c r="J22" s="39">
        <f t="shared" si="1"/>
        <v>14.791527634585815</v>
      </c>
      <c r="K22" s="39">
        <v>1.1000000000000001</v>
      </c>
      <c r="L22" s="40">
        <v>2.2000000000000002</v>
      </c>
      <c r="M22" s="40">
        <v>25</v>
      </c>
    </row>
    <row r="23" spans="1:13" x14ac:dyDescent="0.25">
      <c r="A23" s="37">
        <v>15</v>
      </c>
      <c r="B23" t="s">
        <v>113</v>
      </c>
      <c r="C23" s="38"/>
      <c r="D23">
        <v>404.58199999999999</v>
      </c>
      <c r="E23" s="39">
        <f t="shared" si="4"/>
        <v>404.58199999999999</v>
      </c>
      <c r="F23" s="39">
        <f t="shared" si="0"/>
        <v>2.4716868273922223</v>
      </c>
      <c r="G23" s="60">
        <v>2.2000000000000002</v>
      </c>
      <c r="H23" s="60">
        <v>1.1000000000000001</v>
      </c>
      <c r="I23" s="60">
        <v>2.2000000000000002</v>
      </c>
      <c r="J23" s="39">
        <f t="shared" si="1"/>
        <v>14.828313172607777</v>
      </c>
      <c r="K23" s="39">
        <v>1.1000000000000001</v>
      </c>
      <c r="L23" s="40">
        <v>2.2000000000000002</v>
      </c>
      <c r="M23" s="40">
        <v>25</v>
      </c>
    </row>
    <row r="24" spans="1:13" x14ac:dyDescent="0.25">
      <c r="A24" s="37">
        <v>16</v>
      </c>
      <c r="B24" t="s">
        <v>114</v>
      </c>
      <c r="C24" s="38"/>
      <c r="D24">
        <v>463.54399999999998</v>
      </c>
      <c r="E24" s="39">
        <f t="shared" si="4"/>
        <v>463.54399999999998</v>
      </c>
      <c r="F24" s="39">
        <f t="shared" si="0"/>
        <v>2.1572925116062338</v>
      </c>
      <c r="G24" s="60">
        <v>2.2000000000000002</v>
      </c>
      <c r="H24" s="60">
        <v>1.1000000000000001</v>
      </c>
      <c r="I24" s="60">
        <v>2.2000000000000002</v>
      </c>
      <c r="J24" s="39">
        <f t="shared" si="1"/>
        <v>15.142707488393766</v>
      </c>
      <c r="K24" s="39">
        <v>1.1000000000000001</v>
      </c>
      <c r="L24" s="40">
        <v>2.2000000000000002</v>
      </c>
      <c r="M24" s="40">
        <v>25</v>
      </c>
    </row>
    <row r="26" spans="1:13" x14ac:dyDescent="0.25">
      <c r="B26" s="117" t="s">
        <v>75</v>
      </c>
    </row>
    <row r="27" spans="1:13" x14ac:dyDescent="0.25">
      <c r="B27" s="117" t="s">
        <v>115</v>
      </c>
    </row>
    <row r="28" spans="1:13" x14ac:dyDescent="0.25">
      <c r="B28" s="117" t="s">
        <v>76</v>
      </c>
    </row>
    <row r="29" spans="1:13" x14ac:dyDescent="0.25">
      <c r="B29" s="117" t="s">
        <v>80</v>
      </c>
    </row>
    <row r="30" spans="1:13" x14ac:dyDescent="0.25">
      <c r="B30" s="117" t="s">
        <v>77</v>
      </c>
    </row>
    <row r="31" spans="1:13" x14ac:dyDescent="0.25">
      <c r="B31" s="117" t="s">
        <v>78</v>
      </c>
    </row>
    <row r="32" spans="1:13" x14ac:dyDescent="0.25">
      <c r="B32" s="117" t="s">
        <v>116</v>
      </c>
    </row>
    <row r="33" spans="2:11" x14ac:dyDescent="0.25">
      <c r="B33" s="117" t="s">
        <v>79</v>
      </c>
    </row>
    <row r="36" spans="2:11" x14ac:dyDescent="0.25">
      <c r="B36" s="6" t="s">
        <v>10</v>
      </c>
      <c r="C36" s="7"/>
      <c r="D36" s="7"/>
      <c r="E36" s="7"/>
      <c r="F36" s="7"/>
      <c r="G36" s="7"/>
      <c r="H36" s="7"/>
      <c r="I36" s="7"/>
      <c r="J36" s="7"/>
      <c r="K36" s="7"/>
    </row>
    <row r="37" spans="2:11" x14ac:dyDescent="0.25">
      <c r="B37" s="50" t="s">
        <v>11</v>
      </c>
      <c r="C37" s="15"/>
      <c r="D37" s="15"/>
    </row>
    <row r="38" spans="2:11" x14ac:dyDescent="0.25">
      <c r="B38" s="50" t="s">
        <v>12</v>
      </c>
      <c r="C38" s="15"/>
      <c r="D38" s="15"/>
    </row>
    <row r="39" spans="2:11" x14ac:dyDescent="0.25">
      <c r="B39" s="118"/>
      <c r="C39" s="15"/>
      <c r="D39" s="15"/>
    </row>
    <row r="40" spans="2:11" x14ac:dyDescent="0.25">
      <c r="B40" s="2" t="s">
        <v>82</v>
      </c>
      <c r="C40" s="15"/>
      <c r="D40" s="15"/>
    </row>
    <row r="42" spans="2:11" ht="16.5" thickBot="1" x14ac:dyDescent="0.3">
      <c r="B42" s="6" t="s">
        <v>38</v>
      </c>
      <c r="C42" s="7"/>
      <c r="D42" s="7"/>
      <c r="E42" s="7"/>
      <c r="F42" s="7"/>
      <c r="G42" s="7"/>
      <c r="H42" s="7"/>
      <c r="I42" s="7"/>
      <c r="J42" s="7"/>
      <c r="K42" s="7"/>
    </row>
    <row r="43" spans="2:11" x14ac:dyDescent="0.25">
      <c r="B43" s="97" t="s">
        <v>65</v>
      </c>
      <c r="C43" s="16" t="s">
        <v>13</v>
      </c>
      <c r="D43" s="16"/>
      <c r="E43" s="17" t="s">
        <v>14</v>
      </c>
      <c r="F43" s="18">
        <v>18</v>
      </c>
      <c r="G43" s="79"/>
      <c r="H43" s="79"/>
      <c r="I43" s="79"/>
      <c r="J43" s="19"/>
    </row>
    <row r="44" spans="2:11" x14ac:dyDescent="0.25">
      <c r="B44" s="20"/>
      <c r="C44" s="10"/>
      <c r="D44" s="10"/>
      <c r="E44" s="10"/>
      <c r="F44" s="10"/>
      <c r="G44" s="80"/>
      <c r="H44" s="80"/>
      <c r="I44" s="80"/>
      <c r="J44" s="21"/>
    </row>
    <row r="45" spans="2:11" x14ac:dyDescent="0.25">
      <c r="B45" s="20" t="s">
        <v>15</v>
      </c>
      <c r="C45" s="13">
        <v>4</v>
      </c>
      <c r="D45" s="13" t="s">
        <v>16</v>
      </c>
      <c r="E45" s="13"/>
      <c r="F45" s="12">
        <f>C45*$F$43</f>
        <v>72</v>
      </c>
      <c r="G45" s="81"/>
      <c r="H45" s="81"/>
      <c r="I45" s="81"/>
      <c r="J45" s="22" t="s">
        <v>16</v>
      </c>
    </row>
    <row r="46" spans="2:11" x14ac:dyDescent="0.25">
      <c r="B46" s="20" t="s">
        <v>17</v>
      </c>
      <c r="C46" s="13">
        <v>2</v>
      </c>
      <c r="D46" s="13" t="s">
        <v>16</v>
      </c>
      <c r="E46" s="13"/>
      <c r="F46" s="12">
        <f>C46*$F$43</f>
        <v>36</v>
      </c>
      <c r="G46" s="81"/>
      <c r="H46" s="81"/>
      <c r="I46" s="81"/>
      <c r="J46" s="22" t="s">
        <v>16</v>
      </c>
    </row>
    <row r="47" spans="2:11" x14ac:dyDescent="0.25">
      <c r="B47" s="20" t="s">
        <v>18</v>
      </c>
      <c r="C47" s="13">
        <v>0.5</v>
      </c>
      <c r="D47" s="13" t="s">
        <v>16</v>
      </c>
      <c r="E47" s="13"/>
      <c r="F47" s="12">
        <f>C47*$F$43</f>
        <v>9</v>
      </c>
      <c r="G47" s="81"/>
      <c r="H47" s="81"/>
      <c r="I47" s="81"/>
      <c r="J47" s="22" t="s">
        <v>16</v>
      </c>
    </row>
    <row r="48" spans="2:11" x14ac:dyDescent="0.25">
      <c r="B48" s="23" t="s">
        <v>19</v>
      </c>
      <c r="C48" s="13">
        <v>1.1000000000000001</v>
      </c>
      <c r="D48" s="13" t="s">
        <v>16</v>
      </c>
      <c r="E48" s="13"/>
      <c r="F48" s="12">
        <f>C48*$F$43</f>
        <v>19.8</v>
      </c>
      <c r="G48" s="81"/>
      <c r="H48" s="81"/>
      <c r="I48" s="81"/>
      <c r="J48" s="22" t="s">
        <v>16</v>
      </c>
    </row>
    <row r="49" spans="2:11" x14ac:dyDescent="0.25">
      <c r="B49" s="20" t="s">
        <v>20</v>
      </c>
      <c r="C49" s="13">
        <v>1</v>
      </c>
      <c r="D49" s="13" t="s">
        <v>16</v>
      </c>
      <c r="E49" s="10"/>
      <c r="F49" s="12">
        <f>C49*$F$43</f>
        <v>18</v>
      </c>
      <c r="G49" s="81"/>
      <c r="H49" s="81"/>
      <c r="I49" s="81"/>
      <c r="J49" s="22" t="s">
        <v>16</v>
      </c>
    </row>
    <row r="50" spans="2:11" x14ac:dyDescent="0.25">
      <c r="B50" s="20"/>
      <c r="C50" s="13"/>
      <c r="D50" s="13"/>
      <c r="E50" s="13"/>
      <c r="F50" s="12"/>
      <c r="G50" s="81"/>
      <c r="H50" s="81"/>
      <c r="I50" s="81"/>
      <c r="J50" s="22"/>
    </row>
    <row r="51" spans="2:11" ht="16.5" thickBot="1" x14ac:dyDescent="0.3">
      <c r="B51" s="24" t="s">
        <v>21</v>
      </c>
      <c r="C51" s="25">
        <f>SUM(C45:C49)</f>
        <v>8.6</v>
      </c>
      <c r="D51" s="26" t="s">
        <v>16</v>
      </c>
      <c r="E51" s="27"/>
      <c r="F51" s="28">
        <f>SUM(F45:F49)</f>
        <v>154.80000000000001</v>
      </c>
      <c r="G51" s="82"/>
      <c r="H51" s="82"/>
      <c r="I51" s="82"/>
      <c r="J51" s="29"/>
    </row>
    <row r="53" spans="2:11" ht="16.5" thickBot="1" x14ac:dyDescent="0.3"/>
    <row r="54" spans="2:11" x14ac:dyDescent="0.25">
      <c r="B54" s="51" t="s">
        <v>22</v>
      </c>
      <c r="C54" s="16" t="s">
        <v>13</v>
      </c>
      <c r="D54" s="16"/>
      <c r="E54" s="17" t="s">
        <v>14</v>
      </c>
      <c r="F54" s="18">
        <v>18</v>
      </c>
      <c r="G54" s="79"/>
      <c r="H54" s="79"/>
      <c r="I54" s="79"/>
      <c r="J54" s="19"/>
    </row>
    <row r="55" spans="2:11" x14ac:dyDescent="0.25">
      <c r="B55" s="20"/>
      <c r="C55" s="10"/>
      <c r="D55" s="10"/>
      <c r="E55" s="10"/>
      <c r="F55" s="10"/>
      <c r="G55" s="80"/>
      <c r="H55" s="80"/>
      <c r="I55" s="80"/>
      <c r="J55" s="21"/>
    </row>
    <row r="56" spans="2:11" x14ac:dyDescent="0.25">
      <c r="B56" s="20" t="s">
        <v>15</v>
      </c>
      <c r="C56" s="13">
        <v>4</v>
      </c>
      <c r="D56" s="13" t="s">
        <v>16</v>
      </c>
      <c r="E56" s="13"/>
      <c r="F56" s="12">
        <f>C56*$F$54</f>
        <v>72</v>
      </c>
      <c r="G56" s="81"/>
      <c r="H56" s="81"/>
      <c r="I56" s="81"/>
      <c r="J56" s="22" t="s">
        <v>16</v>
      </c>
    </row>
    <row r="57" spans="2:11" x14ac:dyDescent="0.25">
      <c r="B57" s="20" t="s">
        <v>17</v>
      </c>
      <c r="C57" s="13">
        <v>2</v>
      </c>
      <c r="D57" s="13" t="s">
        <v>16</v>
      </c>
      <c r="E57" s="13"/>
      <c r="F57" s="12">
        <f>C57*$F$54</f>
        <v>36</v>
      </c>
      <c r="G57" s="81"/>
      <c r="H57" s="81"/>
      <c r="I57" s="81"/>
      <c r="J57" s="22" t="s">
        <v>16</v>
      </c>
    </row>
    <row r="58" spans="2:11" x14ac:dyDescent="0.25">
      <c r="B58" s="20" t="s">
        <v>18</v>
      </c>
      <c r="C58" s="13">
        <v>0.5</v>
      </c>
      <c r="D58" s="13" t="s">
        <v>16</v>
      </c>
      <c r="E58" s="13"/>
      <c r="F58" s="12">
        <f>C58*$F$54</f>
        <v>9</v>
      </c>
      <c r="G58" s="81"/>
      <c r="H58" s="81"/>
      <c r="I58" s="81"/>
      <c r="J58" s="22" t="s">
        <v>16</v>
      </c>
    </row>
    <row r="59" spans="2:11" x14ac:dyDescent="0.25">
      <c r="B59" s="23" t="s">
        <v>23</v>
      </c>
      <c r="C59" s="13">
        <v>1.1000000000000001</v>
      </c>
      <c r="D59" s="13" t="s">
        <v>16</v>
      </c>
      <c r="E59" s="13"/>
      <c r="F59" s="12">
        <f>C59*$F$54</f>
        <v>19.8</v>
      </c>
      <c r="G59" s="81"/>
      <c r="H59" s="81"/>
      <c r="I59" s="81"/>
      <c r="J59" s="22" t="s">
        <v>16</v>
      </c>
    </row>
    <row r="60" spans="2:11" x14ac:dyDescent="0.25">
      <c r="B60" s="20" t="s">
        <v>20</v>
      </c>
      <c r="C60" s="13">
        <v>1</v>
      </c>
      <c r="D60" s="13" t="s">
        <v>16</v>
      </c>
      <c r="E60" s="10"/>
      <c r="F60" s="12">
        <f>C60*$F$54</f>
        <v>18</v>
      </c>
      <c r="G60" s="81"/>
      <c r="H60" s="81"/>
      <c r="I60" s="81"/>
      <c r="J60" s="22" t="s">
        <v>16</v>
      </c>
    </row>
    <row r="61" spans="2:11" x14ac:dyDescent="0.25">
      <c r="B61" s="20"/>
      <c r="C61" s="13"/>
      <c r="D61" s="13"/>
      <c r="E61" s="13"/>
      <c r="F61" s="12"/>
      <c r="G61" s="81"/>
      <c r="H61" s="81"/>
      <c r="I61" s="81"/>
      <c r="J61" s="22"/>
    </row>
    <row r="62" spans="2:11" ht="16.5" thickBot="1" x14ac:dyDescent="0.3">
      <c r="B62" s="24" t="s">
        <v>21</v>
      </c>
      <c r="C62" s="25">
        <f>SUM(C56:C60)</f>
        <v>8.6</v>
      </c>
      <c r="D62" s="26" t="s">
        <v>16</v>
      </c>
      <c r="E62" s="27"/>
      <c r="F62" s="28">
        <f>SUM(F56:F60)</f>
        <v>154.80000000000001</v>
      </c>
      <c r="G62" s="82"/>
      <c r="H62" s="82"/>
      <c r="I62" s="82"/>
      <c r="J62" s="29"/>
      <c r="K62" s="55"/>
    </row>
    <row r="64" spans="2:11" x14ac:dyDescent="0.25">
      <c r="C64" s="53">
        <v>8.6</v>
      </c>
      <c r="D64" s="54" t="s">
        <v>25</v>
      </c>
      <c r="K64" s="56"/>
    </row>
    <row r="65" spans="2:14" x14ac:dyDescent="0.25">
      <c r="K65" s="56"/>
    </row>
    <row r="66" spans="2:14" x14ac:dyDescent="0.25">
      <c r="C66" s="2" t="s">
        <v>24</v>
      </c>
      <c r="K66" s="31"/>
    </row>
    <row r="67" spans="2:14" x14ac:dyDescent="0.25">
      <c r="B67" s="50" t="s">
        <v>26</v>
      </c>
      <c r="C67" s="30" t="s">
        <v>39</v>
      </c>
      <c r="K67" s="31"/>
    </row>
    <row r="68" spans="2:14" x14ac:dyDescent="0.25">
      <c r="B68" s="50" t="s">
        <v>27</v>
      </c>
      <c r="K68" s="31"/>
    </row>
    <row r="69" spans="2:14" x14ac:dyDescent="0.25">
      <c r="B69" s="50" t="s">
        <v>12</v>
      </c>
    </row>
    <row r="71" spans="2:14" x14ac:dyDescent="0.25">
      <c r="B71" s="6" t="s">
        <v>28</v>
      </c>
      <c r="C71" s="7"/>
      <c r="D71" s="7"/>
      <c r="E71" s="7"/>
      <c r="F71" s="7"/>
      <c r="G71" s="7"/>
      <c r="H71" s="7"/>
      <c r="I71" s="7"/>
      <c r="J71" s="7"/>
    </row>
    <row r="73" spans="2:14" x14ac:dyDescent="0.25">
      <c r="B73" s="32"/>
      <c r="C73" s="11">
        <v>1</v>
      </c>
      <c r="D73" s="11">
        <v>2</v>
      </c>
      <c r="E73" s="11">
        <v>3</v>
      </c>
      <c r="F73" s="11">
        <v>4</v>
      </c>
      <c r="G73" s="11">
        <v>5</v>
      </c>
      <c r="H73" s="11">
        <v>6</v>
      </c>
      <c r="I73" s="11">
        <v>7</v>
      </c>
      <c r="J73" s="11">
        <v>8</v>
      </c>
      <c r="K73" s="11">
        <v>9</v>
      </c>
      <c r="L73" s="35">
        <v>10</v>
      </c>
      <c r="M73" s="10">
        <v>11</v>
      </c>
      <c r="N73" s="10">
        <v>12</v>
      </c>
    </row>
    <row r="74" spans="2:14" x14ac:dyDescent="0.25">
      <c r="B74" s="35" t="s">
        <v>29</v>
      </c>
      <c r="C74" s="69"/>
      <c r="D74" s="69"/>
      <c r="E74" s="69"/>
      <c r="F74" s="69"/>
      <c r="G74" s="69"/>
      <c r="H74" s="69"/>
      <c r="I74" s="95"/>
      <c r="J74" s="68"/>
      <c r="K74" s="69"/>
      <c r="L74" s="68"/>
      <c r="M74" s="68"/>
      <c r="N74" s="68"/>
    </row>
    <row r="75" spans="2:14" x14ac:dyDescent="0.25">
      <c r="B75" s="35" t="s">
        <v>30</v>
      </c>
      <c r="C75" s="69"/>
      <c r="D75" s="69"/>
      <c r="E75" s="69"/>
      <c r="F75" s="69"/>
      <c r="G75" s="69"/>
      <c r="H75" s="69"/>
      <c r="I75" s="95"/>
      <c r="J75" s="68"/>
      <c r="K75" s="68"/>
      <c r="L75" s="68"/>
      <c r="M75" s="68"/>
      <c r="N75" s="68"/>
    </row>
    <row r="76" spans="2:14" ht="16.5" thickBot="1" x14ac:dyDescent="0.3">
      <c r="B76" s="35" t="s">
        <v>31</v>
      </c>
      <c r="C76" s="69"/>
      <c r="D76" s="119" t="s">
        <v>59</v>
      </c>
      <c r="E76" s="120" t="s">
        <v>83</v>
      </c>
      <c r="F76" s="120" t="s">
        <v>90</v>
      </c>
      <c r="G76" s="120" t="s">
        <v>96</v>
      </c>
      <c r="H76" s="120" t="s">
        <v>97</v>
      </c>
      <c r="I76" s="95"/>
      <c r="J76" s="64"/>
      <c r="K76" s="65"/>
      <c r="L76" s="72"/>
      <c r="M76" s="67"/>
      <c r="N76" s="67"/>
    </row>
    <row r="77" spans="2:14" x14ac:dyDescent="0.25">
      <c r="B77" s="35" t="s">
        <v>32</v>
      </c>
      <c r="C77" s="69"/>
      <c r="D77" s="69"/>
      <c r="E77" s="120" t="s">
        <v>84</v>
      </c>
      <c r="F77" s="120" t="s">
        <v>98</v>
      </c>
      <c r="G77" s="123"/>
      <c r="H77" s="69"/>
      <c r="I77" s="95"/>
      <c r="J77" s="66"/>
      <c r="K77" s="66"/>
      <c r="L77" s="73"/>
      <c r="M77" s="67"/>
      <c r="N77" s="67"/>
    </row>
    <row r="78" spans="2:14" x14ac:dyDescent="0.25">
      <c r="B78" s="36" t="s">
        <v>33</v>
      </c>
      <c r="C78" s="69"/>
      <c r="D78" s="121" t="s">
        <v>44</v>
      </c>
      <c r="E78" s="122" t="s">
        <v>83</v>
      </c>
      <c r="F78" s="122" t="s">
        <v>90</v>
      </c>
      <c r="G78" s="122" t="s">
        <v>96</v>
      </c>
      <c r="H78" s="122" t="s">
        <v>97</v>
      </c>
      <c r="I78" s="95"/>
      <c r="J78" s="70"/>
      <c r="K78" s="70"/>
      <c r="L78" s="74"/>
      <c r="M78" s="67"/>
      <c r="N78" s="67"/>
    </row>
    <row r="79" spans="2:14" ht="16.5" thickBot="1" x14ac:dyDescent="0.3">
      <c r="B79" s="36" t="s">
        <v>34</v>
      </c>
      <c r="C79" s="69"/>
      <c r="D79" s="69"/>
      <c r="E79" s="122" t="s">
        <v>84</v>
      </c>
      <c r="F79" s="122" t="s">
        <v>98</v>
      </c>
      <c r="G79" s="123"/>
      <c r="H79" s="69"/>
      <c r="I79" s="95"/>
      <c r="J79" s="71"/>
      <c r="K79" s="71"/>
      <c r="L79" s="75"/>
      <c r="M79" s="67"/>
      <c r="N79" s="67"/>
    </row>
    <row r="80" spans="2:14" x14ac:dyDescent="0.25">
      <c r="B80" s="14" t="s">
        <v>35</v>
      </c>
      <c r="C80" s="69"/>
      <c r="D80" s="96"/>
      <c r="E80" s="69"/>
      <c r="F80" s="69"/>
      <c r="G80" s="69"/>
      <c r="H80" s="69"/>
      <c r="I80" s="95"/>
      <c r="J80" s="76"/>
      <c r="K80" s="76"/>
      <c r="L80" s="77"/>
      <c r="M80" s="67"/>
      <c r="N80" s="67"/>
    </row>
    <row r="81" spans="2:14" x14ac:dyDescent="0.25">
      <c r="B81" s="14" t="s">
        <v>36</v>
      </c>
      <c r="C81" s="96"/>
      <c r="D81" s="69"/>
      <c r="E81" s="69"/>
      <c r="F81" s="69"/>
      <c r="G81" s="69"/>
      <c r="H81" s="69"/>
      <c r="I81" s="95"/>
      <c r="J81" s="67"/>
      <c r="K81" s="67"/>
      <c r="L81" s="78"/>
      <c r="M81" s="67"/>
      <c r="N81" s="67"/>
    </row>
    <row r="82" spans="2:14" x14ac:dyDescent="0.25">
      <c r="B82" s="33"/>
    </row>
    <row r="83" spans="2:14" x14ac:dyDescent="0.25">
      <c r="B83" s="2" t="s">
        <v>41</v>
      </c>
    </row>
    <row r="84" spans="2:14" x14ac:dyDescent="0.25">
      <c r="B84" s="84" t="s">
        <v>59</v>
      </c>
      <c r="C84" s="15" t="s">
        <v>85</v>
      </c>
      <c r="J84" s="31"/>
    </row>
    <row r="85" spans="2:14" x14ac:dyDescent="0.25">
      <c r="C85" s="2" t="s">
        <v>118</v>
      </c>
      <c r="D85" s="83">
        <v>22.8</v>
      </c>
      <c r="E85" s="2" t="s">
        <v>50</v>
      </c>
      <c r="J85" s="34"/>
    </row>
    <row r="86" spans="2:14" x14ac:dyDescent="0.25">
      <c r="C86" s="2" t="s">
        <v>52</v>
      </c>
      <c r="D86" s="124">
        <v>54.4</v>
      </c>
      <c r="E86" s="2" t="s">
        <v>53</v>
      </c>
      <c r="F86" s="83">
        <v>182.4</v>
      </c>
      <c r="G86" s="2" t="s">
        <v>54</v>
      </c>
    </row>
    <row r="87" spans="2:14" x14ac:dyDescent="0.25">
      <c r="C87" s="2" t="s">
        <v>51</v>
      </c>
      <c r="D87" s="2">
        <v>16</v>
      </c>
      <c r="E87" s="2" t="s">
        <v>50</v>
      </c>
    </row>
    <row r="88" spans="2:14" x14ac:dyDescent="0.25">
      <c r="C88" s="2" t="s">
        <v>86</v>
      </c>
    </row>
    <row r="89" spans="2:14" x14ac:dyDescent="0.25">
      <c r="C89" s="2" t="s">
        <v>42</v>
      </c>
    </row>
    <row r="90" spans="2:14" x14ac:dyDescent="0.25">
      <c r="C90" s="83">
        <v>40</v>
      </c>
      <c r="D90" s="2" t="s">
        <v>66</v>
      </c>
    </row>
    <row r="91" spans="2:14" x14ac:dyDescent="0.25">
      <c r="C91" s="83">
        <f>C90/2</f>
        <v>20</v>
      </c>
    </row>
    <row r="92" spans="2:14" x14ac:dyDescent="0.25">
      <c r="C92" s="83">
        <f t="shared" ref="C92:C95" si="5">C91/2</f>
        <v>10</v>
      </c>
    </row>
    <row r="93" spans="2:14" x14ac:dyDescent="0.25">
      <c r="C93" s="83">
        <f t="shared" si="5"/>
        <v>5</v>
      </c>
    </row>
    <row r="94" spans="2:14" x14ac:dyDescent="0.25">
      <c r="C94" s="83">
        <f t="shared" si="5"/>
        <v>2.5</v>
      </c>
      <c r="E94" s="2" t="s">
        <v>92</v>
      </c>
    </row>
    <row r="95" spans="2:14" x14ac:dyDescent="0.25">
      <c r="C95" s="83">
        <f t="shared" si="5"/>
        <v>1.25</v>
      </c>
    </row>
    <row r="96" spans="2:14" x14ac:dyDescent="0.25">
      <c r="C96" s="2" t="s">
        <v>23</v>
      </c>
    </row>
    <row r="98" spans="2:8" x14ac:dyDescent="0.25">
      <c r="C98" s="2" t="s">
        <v>61</v>
      </c>
      <c r="D98" s="2">
        <v>12</v>
      </c>
      <c r="E98" s="2" t="s">
        <v>54</v>
      </c>
      <c r="F98" s="85"/>
    </row>
    <row r="99" spans="2:8" x14ac:dyDescent="0.25">
      <c r="C99" s="2" t="s">
        <v>63</v>
      </c>
      <c r="D99" s="2">
        <v>12</v>
      </c>
      <c r="E99" s="2" t="s">
        <v>62</v>
      </c>
      <c r="F99" s="2" t="s">
        <v>93</v>
      </c>
      <c r="G99" s="85" t="s">
        <v>54</v>
      </c>
    </row>
    <row r="100" spans="2:8" x14ac:dyDescent="0.25">
      <c r="C100" s="2" t="s">
        <v>55</v>
      </c>
      <c r="D100" s="83">
        <v>68.400000000000006</v>
      </c>
      <c r="E100" s="2" t="s">
        <v>56</v>
      </c>
      <c r="F100" s="2">
        <v>4</v>
      </c>
      <c r="G100" s="2" t="s">
        <v>50</v>
      </c>
    </row>
    <row r="101" spans="2:8" x14ac:dyDescent="0.25">
      <c r="C101" s="2" t="s">
        <v>64</v>
      </c>
      <c r="H101" s="2" t="s">
        <v>94</v>
      </c>
    </row>
    <row r="102" spans="2:8" x14ac:dyDescent="0.25">
      <c r="C102" s="2" t="s">
        <v>58</v>
      </c>
      <c r="D102" s="85">
        <f>D100/2.5</f>
        <v>27.360000000000003</v>
      </c>
      <c r="E102" s="2" t="s">
        <v>60</v>
      </c>
      <c r="H102" s="2" t="s">
        <v>95</v>
      </c>
    </row>
    <row r="105" spans="2:8" x14ac:dyDescent="0.25">
      <c r="B105" s="84" t="s">
        <v>44</v>
      </c>
      <c r="C105" s="2" t="s">
        <v>61</v>
      </c>
      <c r="D105" s="2">
        <v>20</v>
      </c>
      <c r="E105" s="2" t="s">
        <v>54</v>
      </c>
      <c r="F105" s="85"/>
    </row>
    <row r="106" spans="2:8" x14ac:dyDescent="0.25">
      <c r="C106" s="2" t="s">
        <v>63</v>
      </c>
      <c r="D106" s="2">
        <v>20</v>
      </c>
      <c r="E106" s="2" t="s">
        <v>62</v>
      </c>
      <c r="F106" s="2">
        <f>(($D$85/F107)*D106)-D106</f>
        <v>94</v>
      </c>
      <c r="G106" s="85" t="s">
        <v>54</v>
      </c>
    </row>
    <row r="107" spans="2:8" x14ac:dyDescent="0.25">
      <c r="C107" s="2" t="s">
        <v>55</v>
      </c>
      <c r="D107" s="85">
        <f>F106+D106</f>
        <v>114</v>
      </c>
      <c r="E107" s="2" t="s">
        <v>56</v>
      </c>
      <c r="F107" s="2">
        <v>4</v>
      </c>
      <c r="G107" s="2" t="s">
        <v>57</v>
      </c>
    </row>
    <row r="108" spans="2:8" x14ac:dyDescent="0.25">
      <c r="C108" s="2" t="s">
        <v>43</v>
      </c>
    </row>
    <row r="109" spans="2:8" x14ac:dyDescent="0.25">
      <c r="C109" s="2" t="s">
        <v>58</v>
      </c>
      <c r="D109" s="85">
        <f>D107/2.5</f>
        <v>45.6</v>
      </c>
      <c r="E109" s="2" t="s">
        <v>60</v>
      </c>
    </row>
  </sheetData>
  <mergeCells count="1">
    <mergeCell ref="G7:J7"/>
  </mergeCells>
  <pageMargins left="0.7" right="0.7" top="0.75" bottom="0.75" header="0.3" footer="0.3"/>
  <pageSetup scale="3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E52"/>
  <sheetViews>
    <sheetView zoomScale="85" zoomScaleNormal="85" workbookViewId="0">
      <selection activeCell="C66" sqref="C66"/>
    </sheetView>
  </sheetViews>
  <sheetFormatPr defaultRowHeight="15" x14ac:dyDescent="0.25"/>
  <cols>
    <col min="3" max="3" width="35.5703125" bestFit="1" customWidth="1"/>
    <col min="4" max="4" width="6.140625" customWidth="1"/>
    <col min="5" max="8" width="9.140625" customWidth="1"/>
    <col min="9" max="9" width="10.28515625" customWidth="1"/>
    <col min="10" max="10" width="10" customWidth="1"/>
    <col min="11" max="11" width="10.140625" customWidth="1"/>
    <col min="12" max="12" width="10.5703125" customWidth="1"/>
    <col min="13" max="13" width="11.140625" style="59" customWidth="1"/>
    <col min="14" max="14" width="8.7109375" style="59" customWidth="1"/>
    <col min="15" max="15" width="10" style="59" customWidth="1"/>
    <col min="16" max="16" width="9.7109375" style="59" customWidth="1"/>
    <col min="17" max="17" width="11" style="59" customWidth="1"/>
    <col min="18" max="18" width="10.42578125" style="59" customWidth="1"/>
    <col min="19" max="19" width="11.42578125" style="59" customWidth="1"/>
    <col min="20" max="20" width="11.5703125" style="59" customWidth="1"/>
    <col min="21" max="21" width="10.140625" style="59" customWidth="1"/>
    <col min="22" max="22" width="10.85546875" style="59" customWidth="1"/>
    <col min="23" max="23" width="9" style="59" customWidth="1"/>
    <col min="24" max="24" width="10.140625" style="59" customWidth="1"/>
    <col min="25" max="25" width="11.5703125" style="59" customWidth="1"/>
    <col min="26" max="26" width="11.28515625" style="59" customWidth="1"/>
    <col min="27" max="27" width="10.7109375" style="59" customWidth="1"/>
    <col min="28" max="28" width="10.28515625" style="59" customWidth="1"/>
    <col min="29" max="31" width="5.7109375" style="59" customWidth="1"/>
    <col min="32" max="44" width="5.7109375" customWidth="1"/>
  </cols>
  <sheetData>
    <row r="2" spans="2:29" ht="15.75" thickBot="1" x14ac:dyDescent="0.3">
      <c r="E2" s="63"/>
      <c r="G2" s="63"/>
      <c r="I2" s="63"/>
      <c r="K2" s="63"/>
      <c r="M2" s="98"/>
      <c r="O2" s="98"/>
      <c r="Q2" s="98"/>
      <c r="S2" s="98"/>
      <c r="U2" s="98"/>
      <c r="W2" s="98"/>
      <c r="Y2" s="98"/>
      <c r="AA2" s="98"/>
    </row>
    <row r="3" spans="2:29" x14ac:dyDescent="0.25">
      <c r="C3" s="41"/>
      <c r="D3" s="42"/>
      <c r="E3" s="100">
        <v>1</v>
      </c>
      <c r="F3" s="101">
        <v>2</v>
      </c>
      <c r="G3" s="101">
        <v>3</v>
      </c>
      <c r="H3" s="101">
        <v>4</v>
      </c>
      <c r="I3" s="102">
        <v>5</v>
      </c>
      <c r="J3" s="103">
        <v>6</v>
      </c>
      <c r="K3" s="104">
        <v>7</v>
      </c>
      <c r="L3" s="105">
        <v>8</v>
      </c>
      <c r="M3" s="106">
        <v>9</v>
      </c>
      <c r="N3" s="107">
        <v>10</v>
      </c>
      <c r="O3" s="107">
        <v>11</v>
      </c>
      <c r="P3" s="108">
        <v>12</v>
      </c>
      <c r="Q3" s="107">
        <v>13</v>
      </c>
      <c r="R3" s="107">
        <v>14</v>
      </c>
      <c r="S3" s="108">
        <v>15</v>
      </c>
      <c r="T3" s="109">
        <v>16</v>
      </c>
      <c r="U3" s="106">
        <v>17</v>
      </c>
      <c r="V3" s="108">
        <v>18</v>
      </c>
      <c r="W3" s="107">
        <v>19</v>
      </c>
      <c r="X3" s="107">
        <v>20</v>
      </c>
      <c r="Y3" s="108">
        <v>21</v>
      </c>
      <c r="Z3" s="107">
        <v>22</v>
      </c>
      <c r="AA3" s="107">
        <v>23</v>
      </c>
      <c r="AB3" s="110">
        <v>24</v>
      </c>
      <c r="AC3" s="61"/>
    </row>
    <row r="4" spans="2:29" x14ac:dyDescent="0.25">
      <c r="B4" s="285" t="s">
        <v>139</v>
      </c>
      <c r="C4" s="131" t="s">
        <v>126</v>
      </c>
      <c r="D4" s="132" t="s">
        <v>29</v>
      </c>
      <c r="E4" s="165" t="s">
        <v>119</v>
      </c>
      <c r="F4" s="140" t="s">
        <v>119</v>
      </c>
      <c r="G4" s="140" t="s">
        <v>120</v>
      </c>
      <c r="H4" s="140" t="s">
        <v>120</v>
      </c>
      <c r="I4" s="140" t="s">
        <v>121</v>
      </c>
      <c r="J4" s="140" t="s">
        <v>121</v>
      </c>
      <c r="K4" s="140" t="s">
        <v>122</v>
      </c>
      <c r="L4" s="140" t="s">
        <v>122</v>
      </c>
      <c r="M4" s="140" t="s">
        <v>123</v>
      </c>
      <c r="N4" s="140" t="s">
        <v>123</v>
      </c>
      <c r="O4" s="140" t="s">
        <v>124</v>
      </c>
      <c r="P4" s="140" t="s">
        <v>124</v>
      </c>
      <c r="Q4" s="140" t="s">
        <v>125</v>
      </c>
      <c r="R4" s="140" t="s">
        <v>125</v>
      </c>
      <c r="S4" s="137"/>
      <c r="T4" s="137"/>
      <c r="U4" s="134"/>
      <c r="V4" s="137"/>
      <c r="W4" s="134"/>
      <c r="X4" s="137"/>
      <c r="Y4" s="134"/>
      <c r="Z4" s="137"/>
      <c r="AA4" s="134"/>
      <c r="AB4" s="146"/>
      <c r="AC4" s="62"/>
    </row>
    <row r="5" spans="2:29" x14ac:dyDescent="0.25">
      <c r="B5" s="285"/>
      <c r="C5" s="133" t="s">
        <v>127</v>
      </c>
      <c r="D5" s="130" t="s">
        <v>30</v>
      </c>
      <c r="E5" s="166" t="s">
        <v>128</v>
      </c>
      <c r="F5" s="141" t="s">
        <v>128</v>
      </c>
      <c r="G5" s="141" t="s">
        <v>128</v>
      </c>
      <c r="H5" s="141" t="s">
        <v>128</v>
      </c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4"/>
      <c r="V5" s="137"/>
      <c r="W5" s="134"/>
      <c r="X5" s="137"/>
      <c r="Y5" s="134"/>
      <c r="Z5" s="137"/>
      <c r="AA5" s="134"/>
      <c r="AB5" s="146"/>
      <c r="AC5" s="62"/>
    </row>
    <row r="6" spans="2:29" x14ac:dyDescent="0.25">
      <c r="B6" s="285"/>
      <c r="C6" s="138" t="s">
        <v>129</v>
      </c>
      <c r="D6" s="139" t="s">
        <v>31</v>
      </c>
      <c r="E6" s="167" t="s">
        <v>132</v>
      </c>
      <c r="F6" s="142" t="s">
        <v>133</v>
      </c>
      <c r="G6" s="142" t="s">
        <v>134</v>
      </c>
      <c r="H6" s="142" t="s">
        <v>135</v>
      </c>
      <c r="I6" s="142" t="s">
        <v>136</v>
      </c>
      <c r="J6" s="142" t="s">
        <v>137</v>
      </c>
      <c r="K6" s="142" t="s">
        <v>131</v>
      </c>
      <c r="L6" s="142" t="s">
        <v>138</v>
      </c>
      <c r="M6" s="137"/>
      <c r="N6" s="137"/>
      <c r="O6" s="137"/>
      <c r="P6" s="137"/>
      <c r="Q6" s="137"/>
      <c r="R6" s="137"/>
      <c r="S6" s="137"/>
      <c r="T6" s="137"/>
      <c r="U6" s="134"/>
      <c r="V6" s="137"/>
      <c r="W6" s="134"/>
      <c r="X6" s="137"/>
      <c r="Y6" s="134"/>
      <c r="Z6" s="137"/>
      <c r="AA6" s="134"/>
      <c r="AB6" s="146"/>
      <c r="AC6" s="62"/>
    </row>
    <row r="7" spans="2:29" x14ac:dyDescent="0.25">
      <c r="B7" s="285"/>
      <c r="C7" s="138" t="s">
        <v>129</v>
      </c>
      <c r="D7" s="139" t="s">
        <v>31</v>
      </c>
      <c r="E7" s="167" t="s">
        <v>132</v>
      </c>
      <c r="F7" s="142" t="s">
        <v>133</v>
      </c>
      <c r="G7" s="142" t="s">
        <v>134</v>
      </c>
      <c r="H7" s="142" t="s">
        <v>135</v>
      </c>
      <c r="I7" s="142" t="s">
        <v>136</v>
      </c>
      <c r="J7" s="142" t="s">
        <v>137</v>
      </c>
      <c r="K7" s="142" t="s">
        <v>131</v>
      </c>
      <c r="L7" s="142" t="s">
        <v>138</v>
      </c>
      <c r="M7" s="137"/>
      <c r="N7" s="137"/>
      <c r="O7" s="137"/>
      <c r="P7" s="137"/>
      <c r="Q7" s="137"/>
      <c r="R7" s="137"/>
      <c r="S7" s="137"/>
      <c r="T7" s="137"/>
      <c r="U7" s="134"/>
      <c r="V7" s="137"/>
      <c r="W7" s="134"/>
      <c r="X7" s="137"/>
      <c r="Y7" s="134"/>
      <c r="Z7" s="137"/>
      <c r="AA7" s="134"/>
      <c r="AB7" s="146"/>
      <c r="AC7" s="62"/>
    </row>
    <row r="8" spans="2:29" x14ac:dyDescent="0.25">
      <c r="B8" s="285"/>
      <c r="C8" s="128" t="s">
        <v>130</v>
      </c>
      <c r="D8" s="129" t="s">
        <v>33</v>
      </c>
      <c r="E8" s="168" t="s">
        <v>132</v>
      </c>
      <c r="F8" s="143" t="s">
        <v>133</v>
      </c>
      <c r="G8" s="143" t="s">
        <v>134</v>
      </c>
      <c r="H8" s="143" t="s">
        <v>135</v>
      </c>
      <c r="I8" s="143" t="s">
        <v>136</v>
      </c>
      <c r="J8" s="143" t="s">
        <v>137</v>
      </c>
      <c r="K8" s="143" t="s">
        <v>131</v>
      </c>
      <c r="L8" s="143" t="s">
        <v>138</v>
      </c>
      <c r="M8" s="145"/>
      <c r="N8" s="145"/>
      <c r="O8" s="145"/>
      <c r="P8" s="145"/>
      <c r="Q8" s="137"/>
      <c r="R8" s="137"/>
      <c r="S8" s="137"/>
      <c r="T8" s="137"/>
      <c r="U8" s="134"/>
      <c r="V8" s="137"/>
      <c r="W8" s="134"/>
      <c r="X8" s="137"/>
      <c r="Y8" s="134"/>
      <c r="Z8" s="137"/>
      <c r="AA8" s="134"/>
      <c r="AB8" s="146"/>
      <c r="AC8" s="62"/>
    </row>
    <row r="9" spans="2:29" x14ac:dyDescent="0.25">
      <c r="B9" s="285"/>
      <c r="C9" s="128" t="s">
        <v>130</v>
      </c>
      <c r="D9" s="129" t="s">
        <v>34</v>
      </c>
      <c r="E9" s="168" t="s">
        <v>132</v>
      </c>
      <c r="F9" s="143" t="s">
        <v>133</v>
      </c>
      <c r="G9" s="143" t="s">
        <v>134</v>
      </c>
      <c r="H9" s="143" t="s">
        <v>135</v>
      </c>
      <c r="I9" s="143" t="s">
        <v>136</v>
      </c>
      <c r="J9" s="143" t="s">
        <v>137</v>
      </c>
      <c r="K9" s="143" t="s">
        <v>131</v>
      </c>
      <c r="L9" s="143" t="s">
        <v>138</v>
      </c>
      <c r="M9" s="145"/>
      <c r="N9" s="145"/>
      <c r="O9" s="145"/>
      <c r="P9" s="145"/>
      <c r="Q9" s="137"/>
      <c r="R9" s="137"/>
      <c r="S9" s="137"/>
      <c r="T9" s="137"/>
      <c r="U9" s="134"/>
      <c r="V9" s="137"/>
      <c r="W9" s="134"/>
      <c r="X9" s="137"/>
      <c r="Y9" s="134"/>
      <c r="Z9" s="137"/>
      <c r="AA9" s="134"/>
      <c r="AB9" s="146"/>
      <c r="AC9" s="61"/>
    </row>
    <row r="10" spans="2:29" s="59" customFormat="1" x14ac:dyDescent="0.25">
      <c r="B10" s="286" t="s">
        <v>140</v>
      </c>
      <c r="C10" s="131" t="s">
        <v>126</v>
      </c>
      <c r="D10" s="132" t="s">
        <v>35</v>
      </c>
      <c r="E10" s="165" t="s">
        <v>119</v>
      </c>
      <c r="F10" s="140" t="s">
        <v>119</v>
      </c>
      <c r="G10" s="140" t="s">
        <v>120</v>
      </c>
      <c r="H10" s="140" t="s">
        <v>120</v>
      </c>
      <c r="I10" s="140" t="s">
        <v>121</v>
      </c>
      <c r="J10" s="140" t="s">
        <v>121</v>
      </c>
      <c r="K10" s="140" t="s">
        <v>122</v>
      </c>
      <c r="L10" s="140" t="s">
        <v>122</v>
      </c>
      <c r="M10" s="140" t="s">
        <v>123</v>
      </c>
      <c r="N10" s="140" t="s">
        <v>123</v>
      </c>
      <c r="O10" s="140" t="s">
        <v>124</v>
      </c>
      <c r="P10" s="140" t="s">
        <v>124</v>
      </c>
      <c r="Q10" s="140" t="s">
        <v>125</v>
      </c>
      <c r="R10" s="140" t="s">
        <v>125</v>
      </c>
      <c r="S10" s="137"/>
      <c r="T10" s="137"/>
      <c r="U10" s="134"/>
      <c r="V10" s="137"/>
      <c r="W10" s="134"/>
      <c r="X10" s="137"/>
      <c r="Y10" s="134"/>
      <c r="Z10" s="137"/>
      <c r="AA10" s="134"/>
      <c r="AB10" s="146"/>
      <c r="AC10" s="61"/>
    </row>
    <row r="11" spans="2:29" s="59" customFormat="1" x14ac:dyDescent="0.25">
      <c r="B11" s="286"/>
      <c r="C11" s="133" t="s">
        <v>127</v>
      </c>
      <c r="D11" s="130" t="s">
        <v>36</v>
      </c>
      <c r="E11" s="166" t="s">
        <v>128</v>
      </c>
      <c r="F11" s="141" t="s">
        <v>128</v>
      </c>
      <c r="G11" s="141" t="s">
        <v>128</v>
      </c>
      <c r="H11" s="141" t="s">
        <v>128</v>
      </c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4"/>
      <c r="V11" s="137"/>
      <c r="W11" s="134"/>
      <c r="X11" s="137"/>
      <c r="Y11" s="134"/>
      <c r="Z11" s="137"/>
      <c r="AA11" s="134"/>
      <c r="AB11" s="146"/>
      <c r="AC11" s="61"/>
    </row>
    <row r="12" spans="2:29" s="59" customFormat="1" x14ac:dyDescent="0.25">
      <c r="B12" s="286"/>
      <c r="C12" s="138" t="s">
        <v>129</v>
      </c>
      <c r="D12" s="139" t="s">
        <v>67</v>
      </c>
      <c r="E12" s="167" t="s">
        <v>132</v>
      </c>
      <c r="F12" s="142" t="s">
        <v>133</v>
      </c>
      <c r="G12" s="142" t="s">
        <v>134</v>
      </c>
      <c r="H12" s="142" t="s">
        <v>135</v>
      </c>
      <c r="I12" s="142" t="s">
        <v>136</v>
      </c>
      <c r="J12" s="142" t="s">
        <v>137</v>
      </c>
      <c r="K12" s="142" t="s">
        <v>131</v>
      </c>
      <c r="L12" s="142" t="s">
        <v>138</v>
      </c>
      <c r="M12" s="137"/>
      <c r="N12" s="137"/>
      <c r="O12" s="137"/>
      <c r="P12" s="137"/>
      <c r="Q12" s="137"/>
      <c r="R12" s="137"/>
      <c r="S12" s="137"/>
      <c r="T12" s="137"/>
      <c r="U12" s="134"/>
      <c r="V12" s="137"/>
      <c r="W12" s="134"/>
      <c r="X12" s="137"/>
      <c r="Y12" s="134"/>
      <c r="Z12" s="137"/>
      <c r="AA12" s="134"/>
      <c r="AB12" s="146"/>
      <c r="AC12" s="61"/>
    </row>
    <row r="13" spans="2:29" s="59" customFormat="1" x14ac:dyDescent="0.25">
      <c r="B13" s="286"/>
      <c r="C13" s="138" t="s">
        <v>129</v>
      </c>
      <c r="D13" s="139" t="s">
        <v>68</v>
      </c>
      <c r="E13" s="167" t="s">
        <v>132</v>
      </c>
      <c r="F13" s="142" t="s">
        <v>133</v>
      </c>
      <c r="G13" s="142" t="s">
        <v>134</v>
      </c>
      <c r="H13" s="142" t="s">
        <v>135</v>
      </c>
      <c r="I13" s="142" t="s">
        <v>136</v>
      </c>
      <c r="J13" s="142" t="s">
        <v>137</v>
      </c>
      <c r="K13" s="142" t="s">
        <v>131</v>
      </c>
      <c r="L13" s="142" t="s">
        <v>138</v>
      </c>
      <c r="M13" s="137"/>
      <c r="N13" s="137"/>
      <c r="O13" s="137"/>
      <c r="P13" s="137"/>
      <c r="Q13" s="137"/>
      <c r="R13" s="137"/>
      <c r="S13" s="137"/>
      <c r="T13" s="137"/>
      <c r="U13" s="134"/>
      <c r="V13" s="137"/>
      <c r="W13" s="134"/>
      <c r="X13" s="137"/>
      <c r="Y13" s="134"/>
      <c r="Z13" s="137"/>
      <c r="AA13" s="134"/>
      <c r="AB13" s="146"/>
      <c r="AC13" s="61"/>
    </row>
    <row r="14" spans="2:29" s="59" customFormat="1" x14ac:dyDescent="0.25">
      <c r="B14" s="286"/>
      <c r="C14" s="128" t="s">
        <v>130</v>
      </c>
      <c r="D14" s="129" t="s">
        <v>69</v>
      </c>
      <c r="E14" s="168" t="s">
        <v>132</v>
      </c>
      <c r="F14" s="143" t="s">
        <v>133</v>
      </c>
      <c r="G14" s="143" t="s">
        <v>134</v>
      </c>
      <c r="H14" s="143" t="s">
        <v>135</v>
      </c>
      <c r="I14" s="143" t="s">
        <v>136</v>
      </c>
      <c r="J14" s="143" t="s">
        <v>137</v>
      </c>
      <c r="K14" s="143" t="s">
        <v>131</v>
      </c>
      <c r="L14" s="143" t="s">
        <v>138</v>
      </c>
      <c r="M14" s="145"/>
      <c r="N14" s="145"/>
      <c r="O14" s="145"/>
      <c r="P14" s="145"/>
      <c r="Q14" s="137"/>
      <c r="R14" s="137"/>
      <c r="S14" s="137"/>
      <c r="T14" s="137"/>
      <c r="U14" s="134"/>
      <c r="V14" s="137"/>
      <c r="W14" s="134"/>
      <c r="X14" s="137"/>
      <c r="Y14" s="134"/>
      <c r="Z14" s="137"/>
      <c r="AA14" s="134"/>
      <c r="AB14" s="146"/>
      <c r="AC14" s="61"/>
    </row>
    <row r="15" spans="2:29" s="59" customFormat="1" x14ac:dyDescent="0.25">
      <c r="B15" s="286"/>
      <c r="C15" s="128" t="s">
        <v>130</v>
      </c>
      <c r="D15" s="129" t="s">
        <v>70</v>
      </c>
      <c r="E15" s="168" t="s">
        <v>132</v>
      </c>
      <c r="F15" s="143" t="s">
        <v>133</v>
      </c>
      <c r="G15" s="143" t="s">
        <v>134</v>
      </c>
      <c r="H15" s="143" t="s">
        <v>135</v>
      </c>
      <c r="I15" s="143" t="s">
        <v>136</v>
      </c>
      <c r="J15" s="143" t="s">
        <v>137</v>
      </c>
      <c r="K15" s="143" t="s">
        <v>131</v>
      </c>
      <c r="L15" s="143" t="s">
        <v>138</v>
      </c>
      <c r="M15" s="145"/>
      <c r="N15" s="145"/>
      <c r="O15" s="145"/>
      <c r="P15" s="145"/>
      <c r="Q15" s="137"/>
      <c r="R15" s="137"/>
      <c r="S15" s="137"/>
      <c r="T15" s="137"/>
      <c r="U15" s="134"/>
      <c r="V15" s="137"/>
      <c r="W15" s="134"/>
      <c r="X15" s="137"/>
      <c r="Y15" s="134"/>
      <c r="Z15" s="137"/>
      <c r="AA15" s="134"/>
      <c r="AB15" s="146"/>
      <c r="AC15" s="61"/>
    </row>
    <row r="16" spans="2:29" s="59" customFormat="1" x14ac:dyDescent="0.25">
      <c r="C16" s="125"/>
      <c r="D16" s="126" t="s">
        <v>71</v>
      </c>
      <c r="E16" s="147"/>
      <c r="F16" s="145"/>
      <c r="G16" s="144"/>
      <c r="H16" s="145"/>
      <c r="I16" s="144"/>
      <c r="J16" s="145"/>
      <c r="K16" s="144"/>
      <c r="L16" s="145"/>
      <c r="M16" s="144"/>
      <c r="N16" s="145"/>
      <c r="O16" s="144"/>
      <c r="P16" s="145"/>
      <c r="Q16" s="134"/>
      <c r="R16" s="137"/>
      <c r="S16" s="134"/>
      <c r="T16" s="137"/>
      <c r="U16" s="134"/>
      <c r="V16" s="137"/>
      <c r="W16" s="134"/>
      <c r="X16" s="137"/>
      <c r="Y16" s="134"/>
      <c r="Z16" s="137"/>
      <c r="AA16" s="134"/>
      <c r="AB16" s="146"/>
      <c r="AC16" s="61"/>
    </row>
    <row r="17" spans="3:29" s="59" customFormat="1" x14ac:dyDescent="0.25">
      <c r="C17" s="127"/>
      <c r="D17" s="126" t="s">
        <v>87</v>
      </c>
      <c r="E17" s="147"/>
      <c r="F17" s="145"/>
      <c r="G17" s="144"/>
      <c r="H17" s="145"/>
      <c r="I17" s="144"/>
      <c r="J17" s="145"/>
      <c r="K17" s="144"/>
      <c r="L17" s="145"/>
      <c r="M17" s="144"/>
      <c r="N17" s="145"/>
      <c r="O17" s="144"/>
      <c r="P17" s="145"/>
      <c r="Q17" s="134"/>
      <c r="R17" s="137"/>
      <c r="S17" s="134"/>
      <c r="T17" s="137"/>
      <c r="U17" s="134"/>
      <c r="V17" s="137"/>
      <c r="W17" s="134"/>
      <c r="X17" s="137"/>
      <c r="Y17" s="134"/>
      <c r="Z17" s="137"/>
      <c r="AA17" s="134"/>
      <c r="AB17" s="146"/>
      <c r="AC17" s="61"/>
    </row>
    <row r="18" spans="3:29" x14ac:dyDescent="0.25">
      <c r="C18" s="125"/>
      <c r="D18" s="126" t="s">
        <v>88</v>
      </c>
      <c r="E18" s="148"/>
      <c r="F18" s="137"/>
      <c r="G18" s="134"/>
      <c r="H18" s="137"/>
      <c r="I18" s="134"/>
      <c r="J18" s="137"/>
      <c r="K18" s="134"/>
      <c r="L18" s="137"/>
      <c r="M18" s="134"/>
      <c r="N18" s="137"/>
      <c r="O18" s="134"/>
      <c r="P18" s="137"/>
      <c r="Q18" s="134"/>
      <c r="R18" s="137"/>
      <c r="S18" s="134"/>
      <c r="T18" s="137"/>
      <c r="U18" s="134"/>
      <c r="V18" s="137"/>
      <c r="W18" s="134"/>
      <c r="X18" s="137"/>
      <c r="Y18" s="134"/>
      <c r="Z18" s="137"/>
      <c r="AA18" s="134"/>
      <c r="AB18" s="146"/>
      <c r="AC18" s="61"/>
    </row>
    <row r="19" spans="3:29" ht="15.75" thickBot="1" x14ac:dyDescent="0.3">
      <c r="C19" s="125"/>
      <c r="D19" s="126" t="s">
        <v>89</v>
      </c>
      <c r="E19" s="136"/>
      <c r="F19" s="149"/>
      <c r="G19" s="135"/>
      <c r="H19" s="149"/>
      <c r="I19" s="135"/>
      <c r="J19" s="149"/>
      <c r="K19" s="135"/>
      <c r="L19" s="149"/>
      <c r="M19" s="135"/>
      <c r="N19" s="149"/>
      <c r="O19" s="135"/>
      <c r="P19" s="149"/>
      <c r="Q19" s="135"/>
      <c r="R19" s="149"/>
      <c r="S19" s="135"/>
      <c r="T19" s="149"/>
      <c r="U19" s="135"/>
      <c r="V19" s="149"/>
      <c r="W19" s="135"/>
      <c r="X19" s="149"/>
      <c r="Y19" s="135"/>
      <c r="Z19" s="149"/>
      <c r="AA19" s="135"/>
      <c r="AB19" s="150"/>
    </row>
    <row r="20" spans="3:29" x14ac:dyDescent="0.25">
      <c r="C20" s="41"/>
      <c r="D20" s="45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</row>
    <row r="21" spans="3:29" ht="15.75" thickBot="1" x14ac:dyDescent="0.3">
      <c r="C21" s="44"/>
      <c r="D21" s="41"/>
      <c r="E21" s="41"/>
      <c r="F21" s="92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3:29" x14ac:dyDescent="0.25">
      <c r="C22" s="287" t="s">
        <v>333</v>
      </c>
      <c r="D22" s="288"/>
      <c r="E22" s="155" t="s">
        <v>145</v>
      </c>
      <c r="F22" s="155"/>
      <c r="G22" s="155"/>
      <c r="H22" s="156">
        <v>55</v>
      </c>
      <c r="I22" s="157"/>
      <c r="J22" s="41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1"/>
      <c r="Z22" s="87"/>
      <c r="AA22" s="48"/>
      <c r="AB22" s="48"/>
    </row>
    <row r="23" spans="3:29" x14ac:dyDescent="0.25">
      <c r="C23" s="256" t="s">
        <v>141</v>
      </c>
      <c r="D23" s="257"/>
      <c r="E23" s="169">
        <v>6.25</v>
      </c>
      <c r="F23" s="151" t="s">
        <v>16</v>
      </c>
      <c r="G23" s="151"/>
      <c r="H23" s="176">
        <f>E23*$H$22</f>
        <v>343.75</v>
      </c>
      <c r="I23" s="158" t="s">
        <v>16</v>
      </c>
      <c r="J23" s="41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88"/>
      <c r="Z23" s="87"/>
      <c r="AA23" s="46"/>
      <c r="AB23" s="116"/>
    </row>
    <row r="24" spans="3:29" x14ac:dyDescent="0.25">
      <c r="C24" s="258" t="s">
        <v>142</v>
      </c>
      <c r="D24" s="259"/>
      <c r="E24" s="178">
        <v>2.5</v>
      </c>
      <c r="F24" s="164" t="s">
        <v>16</v>
      </c>
      <c r="G24" s="164"/>
      <c r="H24" s="179">
        <f t="shared" ref="H24:H27" si="0">E24*$H$22</f>
        <v>137.5</v>
      </c>
      <c r="I24" s="163" t="s">
        <v>16</v>
      </c>
      <c r="J24" s="41"/>
      <c r="O24" s="48"/>
      <c r="P24" s="46"/>
      <c r="Q24" s="48"/>
      <c r="R24" s="48"/>
      <c r="S24" s="48"/>
      <c r="T24" s="48"/>
      <c r="U24" s="48"/>
      <c r="V24" s="48"/>
      <c r="W24" s="48"/>
      <c r="X24" s="48"/>
      <c r="Y24" s="89"/>
      <c r="Z24" s="41"/>
      <c r="AA24" s="99"/>
      <c r="AB24" s="116"/>
    </row>
    <row r="25" spans="3:29" x14ac:dyDescent="0.25">
      <c r="C25" s="256" t="s">
        <v>143</v>
      </c>
      <c r="D25" s="257"/>
      <c r="E25" s="169">
        <v>0.625</v>
      </c>
      <c r="F25" s="151" t="s">
        <v>16</v>
      </c>
      <c r="G25" s="151"/>
      <c r="H25" s="176">
        <f t="shared" si="0"/>
        <v>34.375</v>
      </c>
      <c r="I25" s="158" t="s">
        <v>16</v>
      </c>
      <c r="J25" s="48"/>
      <c r="P25" s="46"/>
      <c r="Y25" s="90"/>
      <c r="Z25" s="41"/>
      <c r="AA25" s="46"/>
      <c r="AB25" s="116"/>
    </row>
    <row r="26" spans="3:29" ht="15.75" thickBot="1" x14ac:dyDescent="0.3">
      <c r="C26" s="266" t="s">
        <v>23</v>
      </c>
      <c r="D26" s="267"/>
      <c r="E26" s="170">
        <v>3.125</v>
      </c>
      <c r="F26" s="152" t="s">
        <v>16</v>
      </c>
      <c r="G26" s="152"/>
      <c r="H26" s="180">
        <f t="shared" si="0"/>
        <v>171.875</v>
      </c>
      <c r="I26" s="160" t="s">
        <v>16</v>
      </c>
      <c r="J26" s="46"/>
      <c r="P26" s="46"/>
      <c r="Y26" s="91"/>
      <c r="Z26" s="41"/>
      <c r="AA26" s="46"/>
      <c r="AB26" s="116"/>
    </row>
    <row r="27" spans="3:29" ht="15.75" thickBot="1" x14ac:dyDescent="0.3">
      <c r="C27" s="289" t="s">
        <v>37</v>
      </c>
      <c r="D27" s="290"/>
      <c r="E27" s="171">
        <v>12.5</v>
      </c>
      <c r="F27" s="161" t="s">
        <v>16</v>
      </c>
      <c r="G27" s="161"/>
      <c r="H27" s="181">
        <f t="shared" si="0"/>
        <v>687.5</v>
      </c>
      <c r="I27" s="162" t="s">
        <v>16</v>
      </c>
      <c r="J27" s="46"/>
      <c r="P27" s="46"/>
      <c r="Y27" s="89"/>
      <c r="Z27" s="48"/>
      <c r="AA27" s="46"/>
      <c r="AB27" s="116"/>
    </row>
    <row r="28" spans="3:29" ht="16.5" x14ac:dyDescent="0.3">
      <c r="C28" s="154"/>
      <c r="D28" s="154"/>
      <c r="E28" s="172"/>
      <c r="F28" s="154"/>
      <c r="G28" s="154"/>
      <c r="H28" s="172"/>
      <c r="I28" s="154"/>
      <c r="J28" s="46"/>
      <c r="O28" s="46"/>
      <c r="P28" s="46"/>
      <c r="Y28" s="89"/>
      <c r="Z28" s="46"/>
      <c r="AA28" s="46"/>
      <c r="AB28" s="116"/>
    </row>
    <row r="29" spans="3:29" ht="16.5" x14ac:dyDescent="0.3">
      <c r="C29" s="153"/>
      <c r="D29" s="153"/>
      <c r="E29" s="173"/>
      <c r="F29" s="153"/>
      <c r="G29" s="153"/>
      <c r="H29" s="173"/>
      <c r="I29" s="153"/>
      <c r="J29" s="41"/>
      <c r="O29" s="44"/>
      <c r="P29" s="46"/>
      <c r="Y29" s="46"/>
      <c r="Z29" s="93"/>
      <c r="AA29" s="93"/>
      <c r="AB29" s="116"/>
    </row>
    <row r="30" spans="3:29" ht="17.25" thickBot="1" x14ac:dyDescent="0.35">
      <c r="C30" s="159"/>
      <c r="D30" s="159"/>
      <c r="E30" s="174"/>
      <c r="F30" s="159"/>
      <c r="G30" s="159"/>
      <c r="H30" s="174"/>
      <c r="I30" s="159"/>
      <c r="J30" s="41"/>
      <c r="K30" s="41"/>
      <c r="L30" s="41"/>
      <c r="M30" s="44"/>
      <c r="N30" s="44"/>
      <c r="O30" s="44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3:29" x14ac:dyDescent="0.25">
      <c r="C31" s="270" t="s">
        <v>144</v>
      </c>
      <c r="D31" s="271"/>
      <c r="E31" s="175" t="s">
        <v>145</v>
      </c>
      <c r="F31" s="155"/>
      <c r="G31" s="155"/>
      <c r="H31" s="177">
        <v>55</v>
      </c>
      <c r="I31" s="157"/>
      <c r="J31" s="41"/>
      <c r="K31" s="41"/>
      <c r="L31" s="41"/>
      <c r="M31" s="44"/>
      <c r="N31" s="44"/>
      <c r="O31" s="44"/>
      <c r="Q31" s="59" t="s">
        <v>117</v>
      </c>
    </row>
    <row r="32" spans="3:29" x14ac:dyDescent="0.25">
      <c r="C32" s="256" t="s">
        <v>141</v>
      </c>
      <c r="D32" s="257"/>
      <c r="E32" s="169">
        <v>6.25</v>
      </c>
      <c r="F32" s="151" t="s">
        <v>16</v>
      </c>
      <c r="G32" s="151"/>
      <c r="H32" s="176">
        <f>E32*$H$31</f>
        <v>343.75</v>
      </c>
      <c r="I32" s="158" t="s">
        <v>16</v>
      </c>
      <c r="J32" s="41"/>
      <c r="K32" s="41"/>
      <c r="L32" s="41"/>
      <c r="M32" s="44"/>
      <c r="N32" s="44"/>
      <c r="O32" s="44"/>
    </row>
    <row r="33" spans="3:15" x14ac:dyDescent="0.25">
      <c r="C33" s="258" t="s">
        <v>142</v>
      </c>
      <c r="D33" s="259"/>
      <c r="E33" s="178">
        <v>2.5</v>
      </c>
      <c r="F33" s="164" t="s">
        <v>16</v>
      </c>
      <c r="G33" s="164"/>
      <c r="H33" s="179">
        <f t="shared" ref="H33:H36" si="1">E33*$H$31</f>
        <v>137.5</v>
      </c>
      <c r="I33" s="163" t="s">
        <v>16</v>
      </c>
      <c r="J33" s="41"/>
      <c r="K33" s="41"/>
      <c r="L33" s="41"/>
      <c r="M33" s="44"/>
      <c r="N33" s="44"/>
      <c r="O33" s="44"/>
    </row>
    <row r="34" spans="3:15" x14ac:dyDescent="0.25">
      <c r="C34" s="256" t="s">
        <v>143</v>
      </c>
      <c r="D34" s="257"/>
      <c r="E34" s="169">
        <v>0.625</v>
      </c>
      <c r="F34" s="151" t="s">
        <v>16</v>
      </c>
      <c r="G34" s="151"/>
      <c r="H34" s="176">
        <f t="shared" si="1"/>
        <v>34.375</v>
      </c>
      <c r="I34" s="158" t="s">
        <v>16</v>
      </c>
      <c r="J34" s="41"/>
      <c r="K34" s="41"/>
      <c r="L34" s="41"/>
      <c r="M34" s="44"/>
      <c r="N34" s="44"/>
      <c r="O34" s="44"/>
    </row>
    <row r="35" spans="3:15" ht="15.75" thickBot="1" x14ac:dyDescent="0.3">
      <c r="C35" s="260" t="s">
        <v>23</v>
      </c>
      <c r="D35" s="261"/>
      <c r="E35" s="170">
        <v>3.125</v>
      </c>
      <c r="F35" s="152" t="s">
        <v>16</v>
      </c>
      <c r="G35" s="152"/>
      <c r="H35" s="180">
        <f t="shared" si="1"/>
        <v>171.875</v>
      </c>
      <c r="I35" s="160" t="s">
        <v>16</v>
      </c>
      <c r="J35" s="41"/>
      <c r="K35" s="41"/>
      <c r="L35" s="41"/>
      <c r="M35" s="44"/>
      <c r="N35" s="44"/>
      <c r="O35" s="44"/>
    </row>
    <row r="36" spans="3:15" ht="15.75" thickBot="1" x14ac:dyDescent="0.3">
      <c r="C36" s="262" t="s">
        <v>37</v>
      </c>
      <c r="D36" s="263"/>
      <c r="E36" s="171">
        <v>12.5</v>
      </c>
      <c r="F36" s="161" t="s">
        <v>16</v>
      </c>
      <c r="G36" s="161"/>
      <c r="H36" s="181">
        <f t="shared" si="1"/>
        <v>687.5</v>
      </c>
      <c r="I36" s="162" t="s">
        <v>16</v>
      </c>
    </row>
    <row r="38" spans="3:15" ht="15.75" x14ac:dyDescent="0.3">
      <c r="C38" s="86"/>
      <c r="D38" s="47"/>
      <c r="E38" s="47"/>
      <c r="F38" s="52"/>
      <c r="G38" s="49"/>
      <c r="H38" s="49"/>
      <c r="I38" s="43"/>
      <c r="J38" s="41"/>
      <c r="O38" s="48"/>
    </row>
    <row r="39" spans="3:15" x14ac:dyDescent="0.25">
      <c r="C39" s="47"/>
      <c r="D39" s="47"/>
      <c r="E39" s="47"/>
      <c r="F39" s="52"/>
      <c r="G39" s="49"/>
      <c r="H39" s="111"/>
      <c r="I39" s="49"/>
      <c r="J39" s="41"/>
      <c r="O39" s="46"/>
    </row>
    <row r="40" spans="3:15" x14ac:dyDescent="0.25">
      <c r="C40" s="47"/>
      <c r="D40" s="112"/>
      <c r="E40" s="112"/>
      <c r="F40" s="113"/>
      <c r="G40" s="114"/>
      <c r="H40" s="115"/>
      <c r="I40" s="114"/>
      <c r="J40" s="41"/>
      <c r="O40" s="48"/>
    </row>
    <row r="41" spans="3:15" x14ac:dyDescent="0.25">
      <c r="C41" s="47"/>
      <c r="D41" s="47"/>
      <c r="E41" s="47"/>
      <c r="F41" s="52"/>
      <c r="G41" s="49"/>
      <c r="H41" s="111"/>
      <c r="I41" s="49"/>
      <c r="J41" s="48"/>
    </row>
    <row r="42" spans="3:15" x14ac:dyDescent="0.25">
      <c r="C42" s="47"/>
      <c r="D42" s="47"/>
      <c r="E42" s="47"/>
      <c r="F42" s="52"/>
      <c r="G42" s="49"/>
      <c r="H42" s="111"/>
      <c r="I42" s="49"/>
      <c r="J42" s="46"/>
    </row>
    <row r="43" spans="3:15" x14ac:dyDescent="0.25">
      <c r="C43" s="47"/>
      <c r="D43" s="47"/>
      <c r="E43" s="47"/>
      <c r="F43" s="52"/>
      <c r="G43" s="49"/>
      <c r="H43" s="111"/>
      <c r="I43" s="49"/>
      <c r="J43" s="46"/>
    </row>
    <row r="44" spans="3:15" x14ac:dyDescent="0.25">
      <c r="C44" s="47"/>
      <c r="D44" s="47"/>
      <c r="E44" s="47"/>
      <c r="F44" s="52"/>
      <c r="G44" s="52"/>
      <c r="H44" s="111"/>
      <c r="I44" s="49"/>
      <c r="J44" s="46"/>
    </row>
    <row r="45" spans="3:15" x14ac:dyDescent="0.25">
      <c r="C45" s="44"/>
      <c r="D45" s="41"/>
      <c r="E45" s="41"/>
      <c r="F45" s="92"/>
      <c r="G45" s="46"/>
      <c r="H45" s="46"/>
      <c r="I45" s="46"/>
      <c r="J45" s="46"/>
      <c r="O45" s="46"/>
    </row>
    <row r="46" spans="3:15" ht="15.75" x14ac:dyDescent="0.3">
      <c r="C46" s="86"/>
      <c r="D46" s="47"/>
      <c r="E46" s="47"/>
      <c r="F46" s="52"/>
      <c r="G46" s="49"/>
      <c r="H46" s="49"/>
      <c r="I46" s="43"/>
      <c r="J46" s="41"/>
      <c r="O46" s="44"/>
    </row>
    <row r="47" spans="3:15" x14ac:dyDescent="0.25">
      <c r="C47" s="47"/>
      <c r="D47" s="47"/>
      <c r="E47" s="47"/>
      <c r="F47" s="52"/>
      <c r="G47" s="49"/>
      <c r="H47" s="111"/>
      <c r="I47" s="49"/>
    </row>
    <row r="48" spans="3:15" x14ac:dyDescent="0.25">
      <c r="C48" s="47"/>
      <c r="D48" s="112"/>
      <c r="E48" s="112"/>
      <c r="F48" s="113"/>
      <c r="G48" s="114"/>
      <c r="H48" s="115"/>
      <c r="I48" s="114"/>
    </row>
    <row r="49" spans="3:9" x14ac:dyDescent="0.25">
      <c r="C49" s="47"/>
      <c r="D49" s="47"/>
      <c r="E49" s="47"/>
      <c r="F49" s="52"/>
      <c r="G49" s="49"/>
      <c r="H49" s="111"/>
      <c r="I49" s="49"/>
    </row>
    <row r="50" spans="3:9" x14ac:dyDescent="0.25">
      <c r="C50" s="47"/>
      <c r="D50" s="47"/>
      <c r="E50" s="47"/>
      <c r="F50" s="52"/>
      <c r="G50" s="49"/>
      <c r="H50" s="111"/>
      <c r="I50" s="49"/>
    </row>
    <row r="51" spans="3:9" x14ac:dyDescent="0.25">
      <c r="C51" s="47"/>
      <c r="D51" s="47"/>
      <c r="E51" s="47"/>
      <c r="F51" s="52"/>
      <c r="G51" s="49"/>
      <c r="H51" s="111"/>
      <c r="I51" s="49"/>
    </row>
    <row r="52" spans="3:9" x14ac:dyDescent="0.25">
      <c r="C52" s="47"/>
      <c r="D52" s="47"/>
      <c r="E52" s="47"/>
      <c r="F52" s="52"/>
      <c r="G52" s="52"/>
      <c r="H52" s="111"/>
      <c r="I52" s="49"/>
    </row>
  </sheetData>
  <mergeCells count="14">
    <mergeCell ref="C26:D26"/>
    <mergeCell ref="C36:D36"/>
    <mergeCell ref="C27:D27"/>
    <mergeCell ref="C31:D31"/>
    <mergeCell ref="C32:D32"/>
    <mergeCell ref="C33:D33"/>
    <mergeCell ref="C34:D34"/>
    <mergeCell ref="C35:D35"/>
    <mergeCell ref="C25:D25"/>
    <mergeCell ref="B4:B9"/>
    <mergeCell ref="B10:B15"/>
    <mergeCell ref="C22:D22"/>
    <mergeCell ref="C23:D23"/>
    <mergeCell ref="C24:D24"/>
  </mergeCells>
  <pageMargins left="0.7" right="0.7" top="0.75" bottom="0.75" header="0.3" footer="0.3"/>
  <pageSetup paperSize="9" scale="4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W104"/>
  <sheetViews>
    <sheetView workbookViewId="0">
      <selection activeCell="J27" sqref="J27"/>
    </sheetView>
  </sheetViews>
  <sheetFormatPr defaultRowHeight="15" x14ac:dyDescent="0.25"/>
  <sheetData>
    <row r="4" spans="4:21" x14ac:dyDescent="0.25">
      <c r="D4" t="s">
        <v>179</v>
      </c>
      <c r="E4" t="s">
        <v>280</v>
      </c>
      <c r="G4" s="214"/>
      <c r="H4">
        <v>1</v>
      </c>
      <c r="I4">
        <v>2</v>
      </c>
      <c r="J4">
        <v>3</v>
      </c>
      <c r="K4">
        <v>4</v>
      </c>
      <c r="L4">
        <v>5</v>
      </c>
      <c r="M4">
        <v>6</v>
      </c>
      <c r="N4">
        <v>7</v>
      </c>
      <c r="O4">
        <v>8</v>
      </c>
      <c r="P4" s="214">
        <v>9</v>
      </c>
      <c r="Q4" s="214">
        <v>10</v>
      </c>
      <c r="R4" s="214">
        <v>11</v>
      </c>
      <c r="S4" s="214">
        <v>12</v>
      </c>
      <c r="T4" s="214">
        <v>13</v>
      </c>
      <c r="U4" s="214">
        <v>14</v>
      </c>
    </row>
    <row r="5" spans="4:21" x14ac:dyDescent="0.25">
      <c r="D5" t="s">
        <v>180</v>
      </c>
      <c r="E5" s="211">
        <v>27.965503692626953</v>
      </c>
      <c r="G5" s="214" t="s">
        <v>282</v>
      </c>
      <c r="H5" s="215">
        <v>27.965503692626953</v>
      </c>
      <c r="I5" s="215">
        <v>27.96807861328125</v>
      </c>
      <c r="J5" s="215">
        <v>29.040346145629883</v>
      </c>
      <c r="K5" s="215">
        <v>29.167058944702148</v>
      </c>
      <c r="L5" s="215">
        <v>30.404813766479492</v>
      </c>
      <c r="M5" s="215">
        <v>30.549293518066406</v>
      </c>
      <c r="N5" s="215">
        <v>31.625961303710938</v>
      </c>
      <c r="O5" s="215">
        <v>31.801254272460938</v>
      </c>
      <c r="P5" s="211">
        <v>32.452388763427734</v>
      </c>
      <c r="Q5" s="211">
        <v>32.671195983886719</v>
      </c>
      <c r="R5" s="211">
        <v>33.681632995605469</v>
      </c>
      <c r="S5" s="211">
        <v>33.534999847412109</v>
      </c>
      <c r="T5" t="s">
        <v>281</v>
      </c>
      <c r="U5" t="s">
        <v>281</v>
      </c>
    </row>
    <row r="6" spans="4:21" x14ac:dyDescent="0.25">
      <c r="D6" t="s">
        <v>181</v>
      </c>
      <c r="E6" s="211">
        <v>27.96807861328125</v>
      </c>
      <c r="G6" s="214" t="s">
        <v>283</v>
      </c>
      <c r="H6" t="s">
        <v>281</v>
      </c>
      <c r="I6" t="s">
        <v>281</v>
      </c>
      <c r="J6" t="s">
        <v>281</v>
      </c>
      <c r="K6" t="s">
        <v>281</v>
      </c>
    </row>
    <row r="7" spans="4:21" x14ac:dyDescent="0.25">
      <c r="D7" t="s">
        <v>182</v>
      </c>
      <c r="E7" s="211">
        <v>29.040346145629883</v>
      </c>
      <c r="G7" s="214" t="s">
        <v>284</v>
      </c>
      <c r="H7" s="213">
        <v>32.406162261962891</v>
      </c>
      <c r="I7" s="213">
        <v>33.161060333251953</v>
      </c>
      <c r="J7" s="213">
        <v>29.781469345092773</v>
      </c>
      <c r="K7" s="213">
        <v>29.558460235595703</v>
      </c>
      <c r="L7" s="213">
        <v>29.407777786254883</v>
      </c>
      <c r="M7" s="213">
        <v>29.07148551940918</v>
      </c>
      <c r="N7" s="213">
        <v>29.109174728393555</v>
      </c>
      <c r="O7" s="213">
        <v>28.946584701538086</v>
      </c>
    </row>
    <row r="8" spans="4:21" x14ac:dyDescent="0.25">
      <c r="D8" t="s">
        <v>183</v>
      </c>
      <c r="E8" s="211">
        <v>29.167058944702148</v>
      </c>
      <c r="G8" s="214" t="s">
        <v>285</v>
      </c>
      <c r="H8" s="213">
        <v>32.570220947265625</v>
      </c>
      <c r="I8" s="213">
        <v>32.724361419677734</v>
      </c>
      <c r="J8" s="213">
        <v>29.931632995605469</v>
      </c>
      <c r="K8" s="213">
        <v>29.510063171386719</v>
      </c>
      <c r="L8" s="213">
        <v>29.614408493041992</v>
      </c>
      <c r="M8" s="213">
        <v>29.140790939331055</v>
      </c>
      <c r="N8" s="213">
        <v>29.146045684814453</v>
      </c>
      <c r="O8" s="213">
        <v>29.177433013916016</v>
      </c>
    </row>
    <row r="9" spans="4:21" x14ac:dyDescent="0.25">
      <c r="D9" t="s">
        <v>184</v>
      </c>
      <c r="E9" s="211">
        <v>30.404813766479492</v>
      </c>
      <c r="G9" s="214" t="s">
        <v>286</v>
      </c>
      <c r="H9" s="190" t="s">
        <v>281</v>
      </c>
      <c r="I9" s="213">
        <v>32.772258758544922</v>
      </c>
      <c r="J9" s="213">
        <v>31.234758377075195</v>
      </c>
      <c r="K9" s="213">
        <v>30.942129135131836</v>
      </c>
      <c r="L9" s="213">
        <v>31.28923225402832</v>
      </c>
      <c r="M9" s="213">
        <v>31.390659332275391</v>
      </c>
      <c r="N9" s="213">
        <v>30.672267913818359</v>
      </c>
      <c r="O9" s="213">
        <v>31.817352294921875</v>
      </c>
    </row>
    <row r="10" spans="4:21" x14ac:dyDescent="0.25">
      <c r="D10" t="s">
        <v>185</v>
      </c>
      <c r="E10" s="211">
        <v>30.549293518066406</v>
      </c>
      <c r="G10" s="214" t="s">
        <v>287</v>
      </c>
      <c r="H10" s="213">
        <v>31.955989837646484</v>
      </c>
      <c r="I10" s="213">
        <v>32.777225494384766</v>
      </c>
      <c r="J10" s="213">
        <v>31.384979248046875</v>
      </c>
      <c r="K10" s="213">
        <v>30.929830551147461</v>
      </c>
      <c r="L10" s="213">
        <v>31.355270385742188</v>
      </c>
      <c r="M10" s="213">
        <v>31.3516845703125</v>
      </c>
      <c r="N10" s="213">
        <v>30.436687469482422</v>
      </c>
      <c r="O10" s="213">
        <v>31.746259689331055</v>
      </c>
    </row>
    <row r="11" spans="4:21" x14ac:dyDescent="0.25">
      <c r="D11" t="s">
        <v>186</v>
      </c>
      <c r="E11" s="211">
        <v>31.625961303710938</v>
      </c>
      <c r="G11" s="214" t="s">
        <v>288</v>
      </c>
      <c r="H11" s="211">
        <v>21.843046188354492</v>
      </c>
      <c r="I11" s="211">
        <v>22.002635955810547</v>
      </c>
      <c r="J11" s="211">
        <v>23.110506057739258</v>
      </c>
      <c r="K11" s="211">
        <v>23.060972213745117</v>
      </c>
      <c r="L11" s="211">
        <v>24.407941818237305</v>
      </c>
      <c r="M11" s="211">
        <v>24.473423004150391</v>
      </c>
      <c r="N11" s="211">
        <v>25.57994270324707</v>
      </c>
      <c r="O11" s="211">
        <v>25.744390487670898</v>
      </c>
      <c r="P11" s="211">
        <v>26.724821090698242</v>
      </c>
      <c r="Q11" s="211">
        <v>26.704103469848633</v>
      </c>
      <c r="R11" s="211">
        <v>27.791175842285156</v>
      </c>
      <c r="S11" s="211">
        <v>27.820693969726563</v>
      </c>
      <c r="T11" t="s">
        <v>281</v>
      </c>
      <c r="U11" t="s">
        <v>281</v>
      </c>
    </row>
    <row r="12" spans="4:21" x14ac:dyDescent="0.25">
      <c r="D12" t="s">
        <v>187</v>
      </c>
      <c r="E12" s="211">
        <v>31.801254272460938</v>
      </c>
      <c r="G12" s="214" t="s">
        <v>289</v>
      </c>
      <c r="H12" t="s">
        <v>281</v>
      </c>
      <c r="I12" s="211">
        <v>39.102275848388672</v>
      </c>
      <c r="J12" t="s">
        <v>281</v>
      </c>
      <c r="K12" t="s">
        <v>281</v>
      </c>
    </row>
    <row r="13" spans="4:21" x14ac:dyDescent="0.25">
      <c r="D13" t="s">
        <v>188</v>
      </c>
      <c r="E13" s="211">
        <v>32.452388763427734</v>
      </c>
      <c r="G13" s="214" t="s">
        <v>290</v>
      </c>
      <c r="H13" s="211">
        <v>23.33281135559082</v>
      </c>
      <c r="I13" s="211">
        <v>24.68939208984375</v>
      </c>
      <c r="J13" s="211">
        <v>24.650775909423828</v>
      </c>
      <c r="K13" s="211">
        <v>24.628366470336914</v>
      </c>
      <c r="L13" s="211">
        <v>24.754636764526367</v>
      </c>
      <c r="M13" s="211">
        <v>24.071390151977539</v>
      </c>
      <c r="N13" s="211">
        <v>24.21095085144043</v>
      </c>
      <c r="O13" s="211">
        <v>24.379953384399414</v>
      </c>
    </row>
    <row r="14" spans="4:21" x14ac:dyDescent="0.25">
      <c r="D14" t="s">
        <v>189</v>
      </c>
      <c r="E14" s="211">
        <v>32.671195983886719</v>
      </c>
      <c r="G14" s="214" t="s">
        <v>291</v>
      </c>
      <c r="H14" s="211">
        <v>23.335729598999023</v>
      </c>
      <c r="I14" s="211">
        <v>24.618556976318359</v>
      </c>
      <c r="J14" s="211">
        <v>24.598239898681641</v>
      </c>
      <c r="K14" s="211">
        <v>24.784297943115234</v>
      </c>
      <c r="L14" s="211">
        <v>24.797565460205078</v>
      </c>
      <c r="M14" s="211">
        <v>24.052873611450195</v>
      </c>
      <c r="N14" s="211">
        <v>24.248838424682617</v>
      </c>
      <c r="O14" s="211">
        <v>24.519966125488281</v>
      </c>
    </row>
    <row r="15" spans="4:21" x14ac:dyDescent="0.25">
      <c r="D15" t="s">
        <v>190</v>
      </c>
      <c r="E15" s="211">
        <v>33.681632995605469</v>
      </c>
      <c r="G15" s="214" t="s">
        <v>292</v>
      </c>
      <c r="H15" s="211">
        <v>23.377603530883789</v>
      </c>
      <c r="I15" s="211">
        <v>25.426872253417969</v>
      </c>
      <c r="J15" s="211">
        <v>24.301321029663086</v>
      </c>
      <c r="K15" s="211">
        <v>24.061132431030273</v>
      </c>
      <c r="L15" s="211">
        <v>24.223749160766602</v>
      </c>
      <c r="M15" s="211">
        <v>24.862958908081055</v>
      </c>
      <c r="N15" s="211">
        <v>23.528308868408203</v>
      </c>
      <c r="O15" s="211">
        <v>24.964241027832031</v>
      </c>
    </row>
    <row r="16" spans="4:21" x14ac:dyDescent="0.25">
      <c r="D16" t="s">
        <v>191</v>
      </c>
      <c r="E16" s="211">
        <v>33.534999847412109</v>
      </c>
      <c r="G16" s="214" t="s">
        <v>293</v>
      </c>
      <c r="H16" s="211">
        <v>23.502847671508789</v>
      </c>
      <c r="I16" s="211">
        <v>25.427806854248047</v>
      </c>
      <c r="J16" s="211">
        <v>24.306850433349609</v>
      </c>
      <c r="K16" s="211">
        <v>24.155918121337891</v>
      </c>
      <c r="L16" s="211">
        <v>24.341714859008789</v>
      </c>
      <c r="M16" s="211">
        <v>24.861333847045898</v>
      </c>
      <c r="N16" s="211">
        <v>23.461736679077148</v>
      </c>
      <c r="O16" s="211">
        <v>24.918907165527344</v>
      </c>
    </row>
    <row r="17" spans="4:23" x14ac:dyDescent="0.25">
      <c r="D17" t="s">
        <v>192</v>
      </c>
      <c r="E17" t="s">
        <v>281</v>
      </c>
    </row>
    <row r="18" spans="4:23" x14ac:dyDescent="0.25">
      <c r="D18" t="s">
        <v>193</v>
      </c>
      <c r="E18" t="s">
        <v>281</v>
      </c>
    </row>
    <row r="19" spans="4:23" x14ac:dyDescent="0.25">
      <c r="D19" t="s">
        <v>194</v>
      </c>
      <c r="E19" t="s">
        <v>281</v>
      </c>
    </row>
    <row r="20" spans="4:23" x14ac:dyDescent="0.25">
      <c r="D20" t="s">
        <v>195</v>
      </c>
      <c r="E20" t="s">
        <v>281</v>
      </c>
    </row>
    <row r="21" spans="4:23" x14ac:dyDescent="0.25">
      <c r="D21" t="s">
        <v>196</v>
      </c>
      <c r="E21" t="s">
        <v>281</v>
      </c>
    </row>
    <row r="22" spans="4:23" x14ac:dyDescent="0.25">
      <c r="D22" t="s">
        <v>197</v>
      </c>
      <c r="E22" t="s">
        <v>281</v>
      </c>
      <c r="T22" s="216" t="s">
        <v>294</v>
      </c>
      <c r="W22" s="216" t="s">
        <v>295</v>
      </c>
    </row>
    <row r="23" spans="4:23" x14ac:dyDescent="0.25">
      <c r="D23" t="s">
        <v>198</v>
      </c>
      <c r="E23" s="212">
        <v>32.406162261962891</v>
      </c>
      <c r="T23">
        <v>107.1</v>
      </c>
      <c r="U23" s="216" t="s">
        <v>296</v>
      </c>
      <c r="W23" s="211">
        <f>AVERAGE('[1]delta delta ct'!M7:M8)</f>
        <v>5.0299863815307617</v>
      </c>
    </row>
    <row r="24" spans="4:23" x14ac:dyDescent="0.25">
      <c r="D24" t="s">
        <v>199</v>
      </c>
      <c r="E24" s="213">
        <v>33.161060333251953</v>
      </c>
      <c r="T24">
        <v>63.1</v>
      </c>
      <c r="U24" s="216" t="s">
        <v>296</v>
      </c>
      <c r="W24" s="211">
        <f>AVERAGE('[1]delta delta ct'!M15:M16)</f>
        <v>6.916618824005127</v>
      </c>
    </row>
    <row r="25" spans="4:23" x14ac:dyDescent="0.25">
      <c r="D25" t="s">
        <v>200</v>
      </c>
      <c r="E25" s="211">
        <v>29.781469345092773</v>
      </c>
    </row>
    <row r="26" spans="4:23" x14ac:dyDescent="0.25">
      <c r="D26" t="s">
        <v>201</v>
      </c>
      <c r="E26" s="211">
        <v>29.558460235595703</v>
      </c>
    </row>
    <row r="27" spans="4:23" x14ac:dyDescent="0.25">
      <c r="D27" t="s">
        <v>202</v>
      </c>
      <c r="E27" s="211">
        <v>29.407777786254883</v>
      </c>
      <c r="U27" s="216" t="s">
        <v>297</v>
      </c>
    </row>
    <row r="28" spans="4:23" x14ac:dyDescent="0.25">
      <c r="D28" t="s">
        <v>203</v>
      </c>
      <c r="E28" s="211">
        <v>29.07148551940918</v>
      </c>
      <c r="T28" s="216" t="s">
        <v>298</v>
      </c>
    </row>
    <row r="29" spans="4:23" x14ac:dyDescent="0.25">
      <c r="D29" t="s">
        <v>204</v>
      </c>
      <c r="E29" s="211">
        <v>29.109174728393555</v>
      </c>
      <c r="T29" s="216" t="s">
        <v>299</v>
      </c>
    </row>
    <row r="30" spans="4:23" x14ac:dyDescent="0.25">
      <c r="D30" t="s">
        <v>205</v>
      </c>
      <c r="E30" s="211">
        <v>28.946584701538086</v>
      </c>
      <c r="T30" s="216" t="s">
        <v>300</v>
      </c>
    </row>
    <row r="31" spans="4:23" x14ac:dyDescent="0.25">
      <c r="D31" t="s">
        <v>206</v>
      </c>
      <c r="E31" s="212">
        <v>32.570220947265625</v>
      </c>
      <c r="T31" s="216" t="s">
        <v>301</v>
      </c>
    </row>
    <row r="32" spans="4:23" x14ac:dyDescent="0.25">
      <c r="D32" t="s">
        <v>207</v>
      </c>
      <c r="E32" s="213">
        <v>32.724361419677734</v>
      </c>
      <c r="T32" s="216" t="s">
        <v>302</v>
      </c>
    </row>
    <row r="33" spans="4:20" x14ac:dyDescent="0.25">
      <c r="D33" t="s">
        <v>208</v>
      </c>
      <c r="E33" s="211">
        <v>29.931632995605469</v>
      </c>
      <c r="T33" s="216" t="s">
        <v>303</v>
      </c>
    </row>
    <row r="34" spans="4:20" x14ac:dyDescent="0.25">
      <c r="D34" t="s">
        <v>209</v>
      </c>
      <c r="E34" s="211">
        <v>29.510063171386719</v>
      </c>
      <c r="T34" s="216" t="s">
        <v>304</v>
      </c>
    </row>
    <row r="35" spans="4:20" x14ac:dyDescent="0.25">
      <c r="D35" t="s">
        <v>210</v>
      </c>
      <c r="E35" s="211">
        <v>29.614408493041992</v>
      </c>
      <c r="T35" s="216" t="s">
        <v>305</v>
      </c>
    </row>
    <row r="36" spans="4:20" x14ac:dyDescent="0.25">
      <c r="D36" t="s">
        <v>211</v>
      </c>
      <c r="E36" s="211">
        <v>29.140790939331055</v>
      </c>
    </row>
    <row r="37" spans="4:20" x14ac:dyDescent="0.25">
      <c r="D37" t="s">
        <v>212</v>
      </c>
      <c r="E37" s="211">
        <v>29.146045684814453</v>
      </c>
    </row>
    <row r="38" spans="4:20" x14ac:dyDescent="0.25">
      <c r="D38" t="s">
        <v>213</v>
      </c>
      <c r="E38" s="211">
        <v>29.177433013916016</v>
      </c>
    </row>
    <row r="39" spans="4:20" x14ac:dyDescent="0.25">
      <c r="D39" t="s">
        <v>214</v>
      </c>
      <c r="E39" t="s">
        <v>281</v>
      </c>
    </row>
    <row r="40" spans="4:20" x14ac:dyDescent="0.25">
      <c r="D40" t="s">
        <v>215</v>
      </c>
      <c r="E40" s="211">
        <v>32.772258758544922</v>
      </c>
    </row>
    <row r="41" spans="4:20" x14ac:dyDescent="0.25">
      <c r="D41" t="s">
        <v>216</v>
      </c>
      <c r="E41" s="211">
        <v>31.234758377075195</v>
      </c>
    </row>
    <row r="42" spans="4:20" x14ac:dyDescent="0.25">
      <c r="D42" t="s">
        <v>217</v>
      </c>
      <c r="E42" s="211">
        <v>30.942129135131836</v>
      </c>
    </row>
    <row r="43" spans="4:20" x14ac:dyDescent="0.25">
      <c r="D43" t="s">
        <v>218</v>
      </c>
      <c r="E43" s="211">
        <v>31.28923225402832</v>
      </c>
    </row>
    <row r="44" spans="4:20" x14ac:dyDescent="0.25">
      <c r="D44" t="s">
        <v>219</v>
      </c>
      <c r="E44" s="211">
        <v>31.390659332275391</v>
      </c>
    </row>
    <row r="45" spans="4:20" x14ac:dyDescent="0.25">
      <c r="D45" t="s">
        <v>220</v>
      </c>
      <c r="E45" s="211">
        <v>30.672267913818359</v>
      </c>
    </row>
    <row r="46" spans="4:20" x14ac:dyDescent="0.25">
      <c r="D46" t="s">
        <v>221</v>
      </c>
      <c r="E46" s="211">
        <v>31.817352294921875</v>
      </c>
    </row>
    <row r="47" spans="4:20" x14ac:dyDescent="0.25">
      <c r="D47" t="s">
        <v>222</v>
      </c>
      <c r="E47" s="211">
        <v>31.955989837646484</v>
      </c>
    </row>
    <row r="48" spans="4:20" x14ac:dyDescent="0.25">
      <c r="D48" t="s">
        <v>223</v>
      </c>
      <c r="E48" s="211">
        <v>32.777225494384766</v>
      </c>
    </row>
    <row r="49" spans="4:5" x14ac:dyDescent="0.25">
      <c r="D49" t="s">
        <v>224</v>
      </c>
      <c r="E49" s="211">
        <v>31.384979248046875</v>
      </c>
    </row>
    <row r="50" spans="4:5" x14ac:dyDescent="0.25">
      <c r="D50" t="s">
        <v>225</v>
      </c>
      <c r="E50" s="211">
        <v>30.929830551147461</v>
      </c>
    </row>
    <row r="51" spans="4:5" x14ac:dyDescent="0.25">
      <c r="D51" t="s">
        <v>226</v>
      </c>
      <c r="E51" s="211">
        <v>31.355270385742188</v>
      </c>
    </row>
    <row r="52" spans="4:5" x14ac:dyDescent="0.25">
      <c r="D52" t="s">
        <v>227</v>
      </c>
      <c r="E52" s="211">
        <v>31.3516845703125</v>
      </c>
    </row>
    <row r="53" spans="4:5" x14ac:dyDescent="0.25">
      <c r="D53" t="s">
        <v>228</v>
      </c>
      <c r="E53" s="211">
        <v>30.436687469482422</v>
      </c>
    </row>
    <row r="54" spans="4:5" x14ac:dyDescent="0.25">
      <c r="D54" t="s">
        <v>229</v>
      </c>
      <c r="E54" s="211">
        <v>31.746259689331055</v>
      </c>
    </row>
    <row r="55" spans="4:5" x14ac:dyDescent="0.25">
      <c r="D55" t="s">
        <v>230</v>
      </c>
      <c r="E55" s="211">
        <v>21.843046188354492</v>
      </c>
    </row>
    <row r="56" spans="4:5" x14ac:dyDescent="0.25">
      <c r="D56" t="s">
        <v>231</v>
      </c>
      <c r="E56" s="211">
        <v>22.002635955810547</v>
      </c>
    </row>
    <row r="57" spans="4:5" x14ac:dyDescent="0.25">
      <c r="D57" t="s">
        <v>232</v>
      </c>
      <c r="E57" s="211">
        <v>23.110506057739258</v>
      </c>
    </row>
    <row r="58" spans="4:5" x14ac:dyDescent="0.25">
      <c r="D58" t="s">
        <v>233</v>
      </c>
      <c r="E58" s="211">
        <v>23.060972213745117</v>
      </c>
    </row>
    <row r="59" spans="4:5" x14ac:dyDescent="0.25">
      <c r="D59" t="s">
        <v>234</v>
      </c>
      <c r="E59" s="211">
        <v>24.407941818237305</v>
      </c>
    </row>
    <row r="60" spans="4:5" x14ac:dyDescent="0.25">
      <c r="D60" t="s">
        <v>235</v>
      </c>
      <c r="E60" s="211">
        <v>24.473423004150391</v>
      </c>
    </row>
    <row r="61" spans="4:5" x14ac:dyDescent="0.25">
      <c r="D61" t="s">
        <v>236</v>
      </c>
      <c r="E61" s="211">
        <v>25.57994270324707</v>
      </c>
    </row>
    <row r="62" spans="4:5" x14ac:dyDescent="0.25">
      <c r="D62" t="s">
        <v>237</v>
      </c>
      <c r="E62" s="211">
        <v>25.744390487670898</v>
      </c>
    </row>
    <row r="63" spans="4:5" x14ac:dyDescent="0.25">
      <c r="D63" t="s">
        <v>238</v>
      </c>
      <c r="E63" s="211">
        <v>26.724821090698242</v>
      </c>
    </row>
    <row r="64" spans="4:5" x14ac:dyDescent="0.25">
      <c r="D64" t="s">
        <v>239</v>
      </c>
      <c r="E64" s="211">
        <v>26.704103469848633</v>
      </c>
    </row>
    <row r="65" spans="4:5" x14ac:dyDescent="0.25">
      <c r="D65" t="s">
        <v>240</v>
      </c>
      <c r="E65" s="211">
        <v>27.791175842285156</v>
      </c>
    </row>
    <row r="66" spans="4:5" x14ac:dyDescent="0.25">
      <c r="D66" t="s">
        <v>241</v>
      </c>
      <c r="E66" s="211">
        <v>27.820693969726563</v>
      </c>
    </row>
    <row r="67" spans="4:5" x14ac:dyDescent="0.25">
      <c r="D67" t="s">
        <v>242</v>
      </c>
      <c r="E67" t="s">
        <v>281</v>
      </c>
    </row>
    <row r="68" spans="4:5" x14ac:dyDescent="0.25">
      <c r="D68" t="s">
        <v>243</v>
      </c>
      <c r="E68" t="s">
        <v>281</v>
      </c>
    </row>
    <row r="69" spans="4:5" x14ac:dyDescent="0.25">
      <c r="D69" t="s">
        <v>244</v>
      </c>
      <c r="E69" t="s">
        <v>281</v>
      </c>
    </row>
    <row r="70" spans="4:5" x14ac:dyDescent="0.25">
      <c r="D70" t="s">
        <v>245</v>
      </c>
      <c r="E70" s="211">
        <v>39.102275848388672</v>
      </c>
    </row>
    <row r="71" spans="4:5" x14ac:dyDescent="0.25">
      <c r="D71" t="s">
        <v>246</v>
      </c>
      <c r="E71" t="s">
        <v>281</v>
      </c>
    </row>
    <row r="72" spans="4:5" x14ac:dyDescent="0.25">
      <c r="D72" t="s">
        <v>247</v>
      </c>
      <c r="E72" t="s">
        <v>281</v>
      </c>
    </row>
    <row r="73" spans="4:5" x14ac:dyDescent="0.25">
      <c r="D73" t="s">
        <v>248</v>
      </c>
      <c r="E73" s="211">
        <v>23.33281135559082</v>
      </c>
    </row>
    <row r="74" spans="4:5" x14ac:dyDescent="0.25">
      <c r="D74" t="s">
        <v>249</v>
      </c>
      <c r="E74" s="211">
        <v>24.68939208984375</v>
      </c>
    </row>
    <row r="75" spans="4:5" x14ac:dyDescent="0.25">
      <c r="D75" t="s">
        <v>250</v>
      </c>
      <c r="E75" s="211">
        <v>24.650775909423828</v>
      </c>
    </row>
    <row r="76" spans="4:5" x14ac:dyDescent="0.25">
      <c r="D76" t="s">
        <v>251</v>
      </c>
      <c r="E76" s="211">
        <v>24.628366470336914</v>
      </c>
    </row>
    <row r="77" spans="4:5" x14ac:dyDescent="0.25">
      <c r="D77" t="s">
        <v>252</v>
      </c>
      <c r="E77" s="211">
        <v>24.754636764526367</v>
      </c>
    </row>
    <row r="78" spans="4:5" x14ac:dyDescent="0.25">
      <c r="D78" t="s">
        <v>253</v>
      </c>
      <c r="E78" s="211">
        <v>24.071390151977539</v>
      </c>
    </row>
    <row r="79" spans="4:5" x14ac:dyDescent="0.25">
      <c r="D79" t="s">
        <v>254</v>
      </c>
      <c r="E79" s="211">
        <v>24.21095085144043</v>
      </c>
    </row>
    <row r="80" spans="4:5" x14ac:dyDescent="0.25">
      <c r="D80" t="s">
        <v>255</v>
      </c>
      <c r="E80" s="211">
        <v>24.379953384399414</v>
      </c>
    </row>
    <row r="81" spans="4:5" x14ac:dyDescent="0.25">
      <c r="D81" t="s">
        <v>256</v>
      </c>
      <c r="E81" s="211">
        <v>23.335729598999023</v>
      </c>
    </row>
    <row r="82" spans="4:5" x14ac:dyDescent="0.25">
      <c r="D82" t="s">
        <v>257</v>
      </c>
      <c r="E82" s="211">
        <v>24.618556976318359</v>
      </c>
    </row>
    <row r="83" spans="4:5" x14ac:dyDescent="0.25">
      <c r="D83" t="s">
        <v>258</v>
      </c>
      <c r="E83" s="211">
        <v>24.598239898681641</v>
      </c>
    </row>
    <row r="84" spans="4:5" x14ac:dyDescent="0.25">
      <c r="D84" t="s">
        <v>259</v>
      </c>
      <c r="E84" s="211">
        <v>24.784297943115234</v>
      </c>
    </row>
    <row r="85" spans="4:5" x14ac:dyDescent="0.25">
      <c r="D85" t="s">
        <v>260</v>
      </c>
      <c r="E85" s="211">
        <v>24.797565460205078</v>
      </c>
    </row>
    <row r="86" spans="4:5" x14ac:dyDescent="0.25">
      <c r="D86" t="s">
        <v>261</v>
      </c>
      <c r="E86" s="211">
        <v>24.052873611450195</v>
      </c>
    </row>
    <row r="87" spans="4:5" x14ac:dyDescent="0.25">
      <c r="D87" t="s">
        <v>262</v>
      </c>
      <c r="E87" s="211">
        <v>24.248838424682617</v>
      </c>
    </row>
    <row r="88" spans="4:5" x14ac:dyDescent="0.25">
      <c r="D88" t="s">
        <v>263</v>
      </c>
      <c r="E88" s="211">
        <v>24.519966125488281</v>
      </c>
    </row>
    <row r="89" spans="4:5" x14ac:dyDescent="0.25">
      <c r="D89" t="s">
        <v>264</v>
      </c>
      <c r="E89" s="211">
        <v>23.377603530883789</v>
      </c>
    </row>
    <row r="90" spans="4:5" x14ac:dyDescent="0.25">
      <c r="D90" t="s">
        <v>265</v>
      </c>
      <c r="E90" s="211">
        <v>25.426872253417969</v>
      </c>
    </row>
    <row r="91" spans="4:5" x14ac:dyDescent="0.25">
      <c r="D91" t="s">
        <v>266</v>
      </c>
      <c r="E91" s="211">
        <v>24.301321029663086</v>
      </c>
    </row>
    <row r="92" spans="4:5" x14ac:dyDescent="0.25">
      <c r="D92" t="s">
        <v>267</v>
      </c>
      <c r="E92" s="211">
        <v>24.061132431030273</v>
      </c>
    </row>
    <row r="93" spans="4:5" x14ac:dyDescent="0.25">
      <c r="D93" t="s">
        <v>268</v>
      </c>
      <c r="E93" s="211">
        <v>24.223749160766602</v>
      </c>
    </row>
    <row r="94" spans="4:5" x14ac:dyDescent="0.25">
      <c r="D94" t="s">
        <v>269</v>
      </c>
      <c r="E94" s="211">
        <v>24.862958908081055</v>
      </c>
    </row>
    <row r="95" spans="4:5" x14ac:dyDescent="0.25">
      <c r="D95" t="s">
        <v>270</v>
      </c>
      <c r="E95" s="211">
        <v>23.528308868408203</v>
      </c>
    </row>
    <row r="96" spans="4:5" x14ac:dyDescent="0.25">
      <c r="D96" t="s">
        <v>271</v>
      </c>
      <c r="E96" s="211">
        <v>24.964241027832031</v>
      </c>
    </row>
    <row r="97" spans="4:5" x14ac:dyDescent="0.25">
      <c r="D97" t="s">
        <v>272</v>
      </c>
      <c r="E97" s="211">
        <v>23.502847671508789</v>
      </c>
    </row>
    <row r="98" spans="4:5" x14ac:dyDescent="0.25">
      <c r="D98" t="s">
        <v>273</v>
      </c>
      <c r="E98" s="211">
        <v>25.427806854248047</v>
      </c>
    </row>
    <row r="99" spans="4:5" x14ac:dyDescent="0.25">
      <c r="D99" t="s">
        <v>274</v>
      </c>
      <c r="E99" s="211">
        <v>24.306850433349609</v>
      </c>
    </row>
    <row r="100" spans="4:5" x14ac:dyDescent="0.25">
      <c r="D100" t="s">
        <v>275</v>
      </c>
      <c r="E100" s="211">
        <v>24.155918121337891</v>
      </c>
    </row>
    <row r="101" spans="4:5" x14ac:dyDescent="0.25">
      <c r="D101" t="s">
        <v>276</v>
      </c>
      <c r="E101" s="211">
        <v>24.341714859008789</v>
      </c>
    </row>
    <row r="102" spans="4:5" x14ac:dyDescent="0.25">
      <c r="D102" t="s">
        <v>277</v>
      </c>
      <c r="E102" s="211">
        <v>24.861333847045898</v>
      </c>
    </row>
    <row r="103" spans="4:5" x14ac:dyDescent="0.25">
      <c r="D103" t="s">
        <v>278</v>
      </c>
      <c r="E103" s="211">
        <v>23.461736679077148</v>
      </c>
    </row>
    <row r="104" spans="4:5" x14ac:dyDescent="0.25">
      <c r="D104" t="s">
        <v>279</v>
      </c>
      <c r="E104" s="211">
        <v>24.918907165527344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cDNA PCR protocol </vt:lpstr>
      <vt:lpstr>Data analysis</vt:lpstr>
      <vt:lpstr>cDNA</vt:lpstr>
      <vt:lpstr>PCR</vt:lpstr>
      <vt:lpstr>Sheet2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E.C. Lima de Souza</dc:creator>
  <cp:lastModifiedBy>N.T.O.M. Dierichs</cp:lastModifiedBy>
  <cp:lastPrinted>2022-11-16T12:54:19Z</cp:lastPrinted>
  <dcterms:created xsi:type="dcterms:W3CDTF">2015-04-21T13:25:41Z</dcterms:created>
  <dcterms:modified xsi:type="dcterms:W3CDTF">2023-08-11T14:05:04Z</dcterms:modified>
</cp:coreProperties>
</file>