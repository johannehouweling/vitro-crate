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filterPrivacy="1"/>
  <xr:revisionPtr revIDLastSave="0" documentId="13_ncr:1_{A286E5C8-671B-444B-BAEC-96F266F6FBA2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n2 redo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6" i="3" l="1"/>
  <c r="L6" i="3"/>
  <c r="Q7" i="3"/>
  <c r="P7" i="3"/>
  <c r="O7" i="3"/>
  <c r="N7" i="3"/>
  <c r="M7" i="3"/>
  <c r="L7" i="3"/>
  <c r="Q6" i="3"/>
  <c r="P6" i="3"/>
  <c r="O6" i="3"/>
  <c r="M6" i="3"/>
</calcChain>
</file>

<file path=xl/sharedStrings.xml><?xml version="1.0" encoding="utf-8"?>
<sst xmlns="http://schemas.openxmlformats.org/spreadsheetml/2006/main" count="19" uniqueCount="13">
  <si>
    <t xml:space="preserve">Combined compounds </t>
  </si>
  <si>
    <t>KLF9</t>
  </si>
  <si>
    <t>+T3</t>
  </si>
  <si>
    <t>NH3 -T3</t>
  </si>
  <si>
    <t>NH3 +T3</t>
  </si>
  <si>
    <t>TBBPA -T3</t>
  </si>
  <si>
    <t>TBBPA +T3</t>
  </si>
  <si>
    <t xml:space="preserve">SK n1 </t>
  </si>
  <si>
    <t xml:space="preserve">SK n2 </t>
  </si>
  <si>
    <t>Control</t>
  </si>
  <si>
    <t>Average=</t>
  </si>
  <si>
    <t xml:space="preserve">SK n3 </t>
  </si>
  <si>
    <t>SD=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</si>
</sst>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4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6"/>
      <color theme="1"/>
      <name val="Aptos Narrow"/>
      <family val="2"/>
      <scheme val="minor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21">
    <xf numFmtId="0" fontId="0" fillId="0" borderId="0" xfId="0"/>
    <xf numFmtId="0" fontId="0" fillId="0" borderId="0" xfId="0" applyBorder="1"/>
    <xf numFmtId="0" fontId="0" fillId="0" borderId="1" xfId="0" applyBorder="1"/>
    <xf numFmtId="0" fontId="1" fillId="0" borderId="5" xfId="1" applyBorder="1"/>
    <xf numFmtId="0" fontId="1" fillId="0" borderId="5" xfId="1" quotePrefix="1" applyBorder="1"/>
    <xf numFmtId="0" fontId="1" fillId="0" borderId="6" xfId="1" applyBorder="1"/>
    <xf numFmtId="0" fontId="0" fillId="0" borderId="7" xfId="0" applyBorder="1"/>
    <xf numFmtId="164" fontId="0" fillId="0" borderId="7" xfId="0" applyNumberFormat="1" applyBorder="1"/>
    <xf numFmtId="164" fontId="0" fillId="0" borderId="2" xfId="0" applyNumberFormat="1" applyBorder="1"/>
    <xf numFmtId="164" fontId="0" fillId="0" borderId="3" xfId="0" applyNumberFormat="1" applyBorder="1"/>
    <xf numFmtId="0" fontId="0" fillId="0" borderId="8" xfId="0" applyBorder="1"/>
    <xf numFmtId="0" fontId="0" fillId="0" borderId="5" xfId="0" applyBorder="1"/>
    <xf numFmtId="0" fontId="0" fillId="0" borderId="10" xfId="0" applyBorder="1"/>
    <xf numFmtId="0" fontId="2" fillId="0" borderId="0" xfId="0" applyFont="1" applyBorder="1"/>
    <xf numFmtId="0" fontId="0" fillId="0" borderId="9" xfId="0" applyBorder="1"/>
    <xf numFmtId="0" fontId="0" fillId="0" borderId="4" xfId="0" applyBorder="1"/>
    <xf numFmtId="0" fontId="1" fillId="0" borderId="8" xfId="1" applyBorder="1"/>
    <xf numFmtId="0" fontId="0" fillId="0" borderId="2" xfId="0" applyBorder="1"/>
    <xf numFmtId="0" fontId="0" fillId="0" borderId="3" xfId="0" applyBorder="1"/>
    <xf numFmtId="164" fontId="3" fillId="0" borderId="2" xfId="1" applyNumberFormat="1" applyFont="1" applyBorder="1"/>
    <xf numFmtId="164" fontId="3" fillId="0" borderId="3" xfId="1" applyNumberFormat="1" applyFont="1" applyBorder="1"/>
  </cellXfs>
  <cellStyles count="3">
    <cellStyle name="Normal" xfId="0" builtinId="0"/>
    <cellStyle name="Normal 2" xfId="2" xr:uid="{00000000-0005-0000-0000-000001000000}"/>
    <cellStyle name="Normal 3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SK n1 compounds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'n2 redo'!$C$5:$H$5</c:f>
              <c:strCache>
                <c:ptCount val="6"/>
                <c:pt idx="0">
                  <c:v>Control</c:v>
                </c:pt>
                <c:pt idx="1">
                  <c:v>+T3</c:v>
                </c:pt>
                <c:pt idx="2">
                  <c:v>NH3 -T3</c:v>
                </c:pt>
                <c:pt idx="3">
                  <c:v>NH3 +T3</c:v>
                </c:pt>
                <c:pt idx="4">
                  <c:v>TBBPA -T3</c:v>
                </c:pt>
                <c:pt idx="5">
                  <c:v>TBBPA +T3</c:v>
                </c:pt>
              </c:strCache>
            </c:strRef>
          </c:cat>
          <c:val>
            <c:numRef>
              <c:f>'n2 redo'!$C$6:$H$6</c:f>
              <c:numCache>
                <c:formatCode>#,##0.000</c:formatCode>
                <c:ptCount val="6"/>
                <c:pt idx="0">
                  <c:v>1.0197602139319175</c:v>
                </c:pt>
                <c:pt idx="1">
                  <c:v>4.4911205593525194</c:v>
                </c:pt>
                <c:pt idx="2">
                  <c:v>2.1567056415084078</c:v>
                </c:pt>
                <c:pt idx="3">
                  <c:v>2.2075586415812478</c:v>
                </c:pt>
                <c:pt idx="4">
                  <c:v>7.8065968577189686</c:v>
                </c:pt>
                <c:pt idx="5">
                  <c:v>7.2111381959875098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F3-4D78-A9AA-474305F929CD}"/>
            </c:ext>
          </c:extLst>
        </c:ser>
        <c:ser>
          <c:idx val="1"/>
          <c:order val="1"/>
          <c:tx>
            <c:v>SK n2 compounds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'n2 redo'!$C$5:$H$5</c:f>
              <c:strCache>
                <c:ptCount val="6"/>
                <c:pt idx="0">
                  <c:v>Control</c:v>
                </c:pt>
                <c:pt idx="1">
                  <c:v>+T3</c:v>
                </c:pt>
                <c:pt idx="2">
                  <c:v>NH3 -T3</c:v>
                </c:pt>
                <c:pt idx="3">
                  <c:v>NH3 +T3</c:v>
                </c:pt>
                <c:pt idx="4">
                  <c:v>TBBPA -T3</c:v>
                </c:pt>
                <c:pt idx="5">
                  <c:v>TBBPA +T3</c:v>
                </c:pt>
              </c:strCache>
            </c:strRef>
          </c:cat>
          <c:val>
            <c:numRef>
              <c:f>'n2 redo'!$C$7:$H$7</c:f>
              <c:numCache>
                <c:formatCode>#,##0.000</c:formatCode>
                <c:ptCount val="6"/>
                <c:pt idx="0">
                  <c:v>1.0047672115629502</c:v>
                </c:pt>
                <c:pt idx="1">
                  <c:v>3.4904645150886817</c:v>
                </c:pt>
                <c:pt idx="2">
                  <c:v>1.5117130748558791</c:v>
                </c:pt>
                <c:pt idx="3">
                  <c:v>1.6042670738113862</c:v>
                </c:pt>
                <c:pt idx="4">
                  <c:v>5.2440963681594228</c:v>
                </c:pt>
                <c:pt idx="5">
                  <c:v>7.272788484257954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BF3-4D78-A9AA-474305F929CD}"/>
            </c:ext>
          </c:extLst>
        </c:ser>
        <c:ser>
          <c:idx val="2"/>
          <c:order val="2"/>
          <c:tx>
            <c:v>SK n3 compounds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'n2 redo'!$C$5:$H$5</c:f>
              <c:strCache>
                <c:ptCount val="6"/>
                <c:pt idx="0">
                  <c:v>Control</c:v>
                </c:pt>
                <c:pt idx="1">
                  <c:v>+T3</c:v>
                </c:pt>
                <c:pt idx="2">
                  <c:v>NH3 -T3</c:v>
                </c:pt>
                <c:pt idx="3">
                  <c:v>NH3 +T3</c:v>
                </c:pt>
                <c:pt idx="4">
                  <c:v>TBBPA -T3</c:v>
                </c:pt>
                <c:pt idx="5">
                  <c:v>TBBPA +T3</c:v>
                </c:pt>
              </c:strCache>
            </c:strRef>
          </c:cat>
          <c:val>
            <c:numRef>
              <c:f>'n2 redo'!$C$8:$H$8</c:f>
              <c:numCache>
                <c:formatCode>#,##0.000</c:formatCode>
                <c:ptCount val="6"/>
                <c:pt idx="0">
                  <c:v>1.0440033850934558</c:v>
                </c:pt>
                <c:pt idx="1">
                  <c:v>6.2281292445041254</c:v>
                </c:pt>
                <c:pt idx="2">
                  <c:v>3.8867186527513566</c:v>
                </c:pt>
                <c:pt idx="3">
                  <c:v>3.5231695784264327</c:v>
                </c:pt>
                <c:pt idx="4">
                  <c:v>14.631412729098093</c:v>
                </c:pt>
                <c:pt idx="5">
                  <c:v>13.596858369133443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BF3-4D78-A9AA-474305F929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09782416"/>
        <c:axId val="509779792"/>
      </c:barChart>
      <c:catAx>
        <c:axId val="509782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509779792"/>
        <c:crosses val="autoZero"/>
        <c:auto val="1"/>
        <c:lblAlgn val="ctr"/>
        <c:lblOffset val="100"/>
        <c:noMultiLvlLbl val="0"/>
      </c:catAx>
      <c:valAx>
        <c:axId val="509779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509782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n1 n2 n3 compounds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00B0F0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'n2 redo'!$L$7:$Q$7</c:f>
                <c:numCache>
                  <c:formatCode>General</c:formatCode>
                  <c:ptCount val="6"/>
                  <c:pt idx="0">
                    <c:v>1.9798984743834073E-2</c:v>
                  </c:pt>
                  <c:pt idx="1">
                    <c:v>1.3852388399297295</c:v>
                  </c:pt>
                  <c:pt idx="2">
                    <c:v>1.2281158960742502</c:v>
                  </c:pt>
                  <c:pt idx="3">
                    <c:v>0.9812389850852502</c:v>
                  </c:pt>
                  <c:pt idx="4">
                    <c:v>4.8522542681652618</c:v>
                  </c:pt>
                  <c:pt idx="5">
                    <c:v>3.6691298422685965</c:v>
                  </c:pt>
                </c:numCache>
              </c:numRef>
            </c:plus>
            <c:minus>
              <c:numRef>
                <c:f>'n2 redo'!$L$7:$Q$7</c:f>
                <c:numCache>
                  <c:formatCode>General</c:formatCode>
                  <c:ptCount val="6"/>
                  <c:pt idx="0">
                    <c:v>1.9798984743834073E-2</c:v>
                  </c:pt>
                  <c:pt idx="1">
                    <c:v>1.3852388399297295</c:v>
                  </c:pt>
                  <c:pt idx="2">
                    <c:v>1.2281158960742502</c:v>
                  </c:pt>
                  <c:pt idx="3">
                    <c:v>0.9812389850852502</c:v>
                  </c:pt>
                  <c:pt idx="4">
                    <c:v>4.8522542681652618</c:v>
                  </c:pt>
                  <c:pt idx="5">
                    <c:v>3.6691298422685965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'n2 redo'!$L$5:$Q$5</c:f>
              <c:strCache>
                <c:ptCount val="6"/>
                <c:pt idx="0">
                  <c:v>Control</c:v>
                </c:pt>
                <c:pt idx="1">
                  <c:v>+T3</c:v>
                </c:pt>
                <c:pt idx="2">
                  <c:v>NH3 -T3</c:v>
                </c:pt>
                <c:pt idx="3">
                  <c:v>NH3 +T3</c:v>
                </c:pt>
                <c:pt idx="4">
                  <c:v>TBBPA -T3</c:v>
                </c:pt>
                <c:pt idx="5">
                  <c:v>TBBPA +T3</c:v>
                </c:pt>
              </c:strCache>
            </c:strRef>
          </c:cat>
          <c:val>
            <c:numRef>
              <c:f>'n2 redo'!$L$6:$Q$6</c:f>
              <c:numCache>
                <c:formatCode>#,##0.000</c:formatCode>
                <c:ptCount val="6"/>
                <c:pt idx="0">
                  <c:v>1.0228436035294413</c:v>
                </c:pt>
                <c:pt idx="1">
                  <c:v>4.7365714396484426</c:v>
                </c:pt>
                <c:pt idx="2">
                  <c:v>2.5183791230385477</c:v>
                </c:pt>
                <c:pt idx="3">
                  <c:v>2.4449984312730222</c:v>
                </c:pt>
                <c:pt idx="4">
                  <c:v>9.2273686516588285</c:v>
                </c:pt>
                <c:pt idx="5">
                  <c:v>9.3602616831263017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DE-44A0-8196-539E43F8F9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09782416"/>
        <c:axId val="509779792"/>
      </c:barChart>
      <c:catAx>
        <c:axId val="509782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509779792"/>
        <c:crosses val="autoZero"/>
        <c:auto val="1"/>
        <c:lblAlgn val="ctr"/>
        <c:lblOffset val="100"/>
        <c:noMultiLvlLbl val="0"/>
      </c:catAx>
      <c:valAx>
        <c:axId val="509779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5097824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616325</xdr:colOff>
      <xdr:row>9</xdr:row>
      <xdr:rowOff>44024</xdr:rowOff>
    </xdr:from>
    <xdr:to>
      <xdr:col>8</xdr:col>
      <xdr:colOff>549088</xdr:colOff>
      <xdr:row>31</xdr:row>
      <xdr:rowOff>32817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9</xdr:row>
      <xdr:rowOff>13607</xdr:rowOff>
    </xdr:from>
    <xdr:to>
      <xdr:col>18</xdr:col>
      <xdr:colOff>422620</xdr:colOff>
      <xdr:row>31</xdr:row>
      <xdr:rowOff>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32"/>
  <sheetViews>
    <sheetView tabSelected="1" zoomScale="85" zoomScaleNormal="85" workbookViewId="0">
      <selection activeCell="AC27" sqref="AC27"/>
    </sheetView>
  </sheetViews>
  <sheetFormatPr defaultRowHeight="15" x14ac:dyDescent="0.25"/>
  <cols>
    <col min="8" max="8" width="9.42578125" bestFit="1" customWidth="1"/>
    <col min="16" max="17" width="11.85546875" bestFit="1" customWidth="1"/>
  </cols>
  <sheetData>
    <row r="1" spans="1:30" x14ac:dyDescent="0.25">
      <c r="A1" s="10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</row>
    <row r="2" spans="1:30" ht="21" x14ac:dyDescent="0.35">
      <c r="A2" s="12"/>
      <c r="B2" s="13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x14ac:dyDescent="0.25">
      <c r="A3" s="12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ht="15.75" thickBot="1" x14ac:dyDescent="0.3">
      <c r="A4" s="12"/>
      <c r="B4" s="1" t="s">
        <v>1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ht="15.75" thickBot="1" x14ac:dyDescent="0.3">
      <c r="A5" s="12"/>
      <c r="B5" s="2"/>
      <c r="C5" s="3" t="s">
        <v>9</v>
      </c>
      <c r="D5" s="4" t="s">
        <v>2</v>
      </c>
      <c r="E5" s="3" t="s">
        <v>3</v>
      </c>
      <c r="F5" s="3" t="s">
        <v>4</v>
      </c>
      <c r="G5" s="3" t="s">
        <v>5</v>
      </c>
      <c r="H5" s="5" t="s">
        <v>6</v>
      </c>
      <c r="I5" s="1"/>
      <c r="J5" s="1"/>
      <c r="K5" s="1"/>
      <c r="L5" s="16" t="s">
        <v>9</v>
      </c>
      <c r="M5" s="4" t="s">
        <v>2</v>
      </c>
      <c r="N5" s="3" t="s">
        <v>3</v>
      </c>
      <c r="O5" s="3" t="s">
        <v>4</v>
      </c>
      <c r="P5" s="3" t="s">
        <v>5</v>
      </c>
      <c r="Q5" s="5" t="s">
        <v>6</v>
      </c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ht="15.75" thickBot="1" x14ac:dyDescent="0.3">
      <c r="A6" s="12"/>
      <c r="B6" s="6" t="s">
        <v>7</v>
      </c>
      <c r="C6" s="7">
        <v>1.0197602139319175</v>
      </c>
      <c r="D6" s="8">
        <v>4.4911205593525194</v>
      </c>
      <c r="E6" s="8">
        <v>2.1567056415084078</v>
      </c>
      <c r="F6" s="8">
        <v>2.2075586415812478</v>
      </c>
      <c r="G6" s="8">
        <v>7.8065968577189686</v>
      </c>
      <c r="H6" s="9">
        <v>7.2111381959875098</v>
      </c>
      <c r="I6" s="1"/>
      <c r="J6" s="1"/>
      <c r="K6" s="1" t="s">
        <v>10</v>
      </c>
      <c r="L6" s="7">
        <f>AVERAGE(C6:C8)</f>
        <v>1.0228436035294413</v>
      </c>
      <c r="M6" s="8">
        <f t="shared" ref="M6:Q6" si="0">AVERAGE(D6:D8)</f>
        <v>4.7365714396484426</v>
      </c>
      <c r="N6" s="8">
        <f>AVERAGE(E6:E8)</f>
        <v>2.5183791230385477</v>
      </c>
      <c r="O6" s="8">
        <f t="shared" si="0"/>
        <v>2.4449984312730222</v>
      </c>
      <c r="P6" s="8">
        <f t="shared" si="0"/>
        <v>9.2273686516588285</v>
      </c>
      <c r="Q6" s="9">
        <f t="shared" si="0"/>
        <v>9.3602616831263017</v>
      </c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 ht="15.75" thickBot="1" x14ac:dyDescent="0.3">
      <c r="A7" s="12"/>
      <c r="B7" s="2" t="s">
        <v>8</v>
      </c>
      <c r="C7" s="19">
        <v>1.0047672115629502</v>
      </c>
      <c r="D7" s="19">
        <v>3.4904645150886817</v>
      </c>
      <c r="E7" s="19">
        <v>1.5117130748558791</v>
      </c>
      <c r="F7" s="19">
        <v>1.6042670738113862</v>
      </c>
      <c r="G7" s="19">
        <v>5.2440963681594228</v>
      </c>
      <c r="H7" s="20">
        <v>7.272788484257954</v>
      </c>
      <c r="I7" s="1"/>
      <c r="J7" s="1"/>
      <c r="K7" s="1" t="s">
        <v>12</v>
      </c>
      <c r="L7" s="6">
        <f>STDEV(C6:C8)</f>
        <v>1.9798984743834073E-2</v>
      </c>
      <c r="M7" s="17">
        <f t="shared" ref="M7:Q7" si="1">STDEV(D6:D8)</f>
        <v>1.3852388399297295</v>
      </c>
      <c r="N7" s="17">
        <f t="shared" si="1"/>
        <v>1.2281158960742502</v>
      </c>
      <c r="O7" s="17">
        <f t="shared" si="1"/>
        <v>0.9812389850852502</v>
      </c>
      <c r="P7" s="17">
        <f t="shared" si="1"/>
        <v>4.8522542681652618</v>
      </c>
      <c r="Q7" s="18">
        <f t="shared" si="1"/>
        <v>3.6691298422685965</v>
      </c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 spans="1:30" ht="15.75" thickBot="1" x14ac:dyDescent="0.3">
      <c r="A8" s="12"/>
      <c r="B8" s="6" t="s">
        <v>11</v>
      </c>
      <c r="C8" s="7">
        <v>1.0440033850934558</v>
      </c>
      <c r="D8" s="8">
        <v>6.2281292445041254</v>
      </c>
      <c r="E8" s="8">
        <v>3.8867186527513566</v>
      </c>
      <c r="F8" s="8">
        <v>3.5231695784264327</v>
      </c>
      <c r="G8" s="8">
        <v>14.631412729098093</v>
      </c>
      <c r="H8" s="9">
        <v>13.596858369133443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 spans="1:30" x14ac:dyDescent="0.25">
      <c r="A9" s="12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 spans="1:30" x14ac:dyDescent="0.25">
      <c r="A10" s="12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 spans="1:30" x14ac:dyDescent="0.25">
      <c r="A11" s="12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 spans="1:30" x14ac:dyDescent="0.25">
      <c r="A12" s="12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 spans="1:30" x14ac:dyDescent="0.25">
      <c r="A13" s="12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 spans="1:30" x14ac:dyDescent="0.25">
      <c r="A14" s="12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 spans="1:30" x14ac:dyDescent="0.25">
      <c r="A15" s="12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 spans="1:30" x14ac:dyDescent="0.25">
      <c r="A16" s="12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 spans="1:30" x14ac:dyDescent="0.25">
      <c r="A17" s="12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 spans="1:30" x14ac:dyDescent="0.25">
      <c r="A18" s="12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 spans="1:30" x14ac:dyDescent="0.25">
      <c r="A19" s="12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 spans="1:30" x14ac:dyDescent="0.25">
      <c r="A20" s="12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 spans="1:30" x14ac:dyDescent="0.25">
      <c r="A21" s="12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 spans="1:30" x14ac:dyDescent="0.25">
      <c r="A22" s="12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 spans="1:30" x14ac:dyDescent="0.25">
      <c r="A23" s="12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 spans="1:30" x14ac:dyDescent="0.25">
      <c r="A24" s="12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 spans="1:30" x14ac:dyDescent="0.25">
      <c r="A25" s="12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 spans="1:30" x14ac:dyDescent="0.25">
      <c r="A26" s="12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 spans="1:30" x14ac:dyDescent="0.25">
      <c r="A27" s="12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 spans="1:30" x14ac:dyDescent="0.25">
      <c r="A28" s="12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 spans="1:30" x14ac:dyDescent="0.25">
      <c r="A29" s="12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 spans="1:30" x14ac:dyDescent="0.25">
      <c r="A30" s="12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 spans="1:30" x14ac:dyDescent="0.25">
      <c r="A31" s="12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 spans="1:30" ht="15.75" thickBot="1" x14ac:dyDescent="0.3">
      <c r="A32" s="14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TemplafyTemplateConfiguration><![CDATA[{"transformationConfigurations":[],"templateName":"blankspreadsheet","templateDescription":"","enableDocumentContentUpdater":false,"version":"2.0"}]]></TemplafyTemplateConfiguration>
</file>

<file path=customXml/item2.xml><?xml version="1.0" encoding="utf-8"?>
<TemplafyFormConfiguration><![CDATA[{"formFields":[],"formDataEntries":[]}]]></TemplafyFormConfiguration>
</file>

<file path=customXml/itemProps1.xml><?xml version="1.0" encoding="utf-8"?>
<ds:datastoreItem xmlns:ds="http://schemas.openxmlformats.org/officeDocument/2006/customXml" ds:itemID="{4AA36A76-3B54-468A-BBF8-2CAC56C26734}">
  <ds:schemaRefs/>
</ds:datastoreItem>
</file>

<file path=customXml/itemProps2.xml><?xml version="1.0" encoding="utf-8"?>
<ds:datastoreItem xmlns:ds="http://schemas.openxmlformats.org/officeDocument/2006/customXml" ds:itemID="{57BDFBEA-AC99-494E-B4AC-B406D5E20D3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n2 redo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2024-08-01T22:35:02Z</dcterms:created>
  <dcterms:modified xsi:type="dcterms:W3CDTF">2025-11-26T09:33:31Z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emplafyTenantId">
    <vt:lpwstr>erasmusmc</vt:lpwstr>
  </property>
  <property fmtid="{D5CDD505-2E9C-101B-9397-08002B2CF9AE}" pid="3" name="TemplafyTemplateId">
    <vt:lpwstr>970965601778925958</vt:lpwstr>
  </property>
  <property fmtid="{D5CDD505-2E9C-101B-9397-08002B2CF9AE}" pid="4" name="TemplafyUserProfileId">
    <vt:lpwstr>637804245525293210</vt:lpwstr>
  </property>
  <property fmtid="{D5CDD505-2E9C-101B-9397-08002B2CF9AE}" pid="5" name="TemplafyFromBlank">
    <vt:bool>true</vt:bool>
  </property>
</Properties>
</file>