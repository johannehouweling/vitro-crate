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R:\Projecten\E132030_NWA-ORC VHP4Safety\2. Uitvoering\2.4 Resultaten\WP2.4\TH-DNT_Tier1_NeuralCellLines\"/>
    </mc:Choice>
  </mc:AlternateContent>
  <xr:revisionPtr revIDLastSave="0" documentId="13_ncr:1_{6FB5101A-AE77-4E9F-AAEC-9D118B590ACE}" xr6:coauthVersionLast="47" xr6:coauthVersionMax="47" xr10:uidLastSave="{00000000-0000-0000-0000-000000000000}"/>
  <bookViews>
    <workbookView xWindow="-108" yWindow="-108" windowWidth="23256" windowHeight="12576" xr2:uid="{00000000-000D-0000-FFFF-FFFF00000000}"/>
  </bookViews>
  <sheets>
    <sheet name="Metadatavelden_Versie1.2.0" sheetId="1" r:id="rId1"/>
    <sheet name="Controlled_vocabularies" sheetId="2"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8" i="1" l="1"/>
  <c r="B37" i="1"/>
  <c r="B32" i="1"/>
  <c r="B31" i="1"/>
  <c r="B16" i="1"/>
</calcChain>
</file>

<file path=xl/sharedStrings.xml><?xml version="1.0" encoding="utf-8"?>
<sst xmlns="http://schemas.openxmlformats.org/spreadsheetml/2006/main" count="346" uniqueCount="288">
  <si>
    <t>Metadatavelden voor de catalogus</t>
  </si>
  <si>
    <t>Elke rij in de tabel laat de veldnaam zien, hoe belangrijk het veld is (verplicht, aanbevolen, optioneel) en een eenvoudige uitleg van wat je moet invullen.</t>
  </si>
  <si>
    <t>Wil je een veld niet invullen? Vul dan geen 'n.v.t.', 'onbekend' of 'x' in, maar laat het veld leeg.</t>
  </si>
  <si>
    <t>Kardinaliteit geeft aan hoe vaak je een veld mag invullen. Bijvoorbeeld: '1..n' betekent dat het veld minimaal 1 keer ingevuld moet worden, maar dat je het verder zo vaak mag invullen als je wilt.</t>
  </si>
  <si>
    <t>Wanneer je een veld meerdere keren wilt invullen, scheid je de waarden met een verticaal streepje: '|'. Bijvoorbeeld: 'Waarde 1|Waarde 2|Waarde 3'.</t>
  </si>
  <si>
    <t>Versienummer</t>
  </si>
  <si>
    <t>1.2.0</t>
  </si>
  <si>
    <t>2025-06-26</t>
  </si>
  <si>
    <t>Veldnaam</t>
  </si>
  <si>
    <t>Optionaliteit</t>
  </si>
  <si>
    <t>Hoe vaak in te vullen</t>
  </si>
  <si>
    <t>Beschrijving</t>
  </si>
  <si>
    <t>Tips</t>
  </si>
  <si>
    <t>Hier invullen</t>
  </si>
  <si>
    <t>Titel dataset</t>
  </si>
  <si>
    <t>Verplicht</t>
  </si>
  <si>
    <t>1..1</t>
  </si>
  <si>
    <t>Een titel die duidelijk maakt waar je dataset over gaat.</t>
  </si>
  <si>
    <t>Een duidelijke en specifieke titel verhoogt de vindbaarheid van de dataset. Bijvoorbeeld: 'Metingen van luchtkwaliteit in Amsterdam tijdens 2020'.</t>
  </si>
  <si>
    <t>Dataset identifier</t>
  </si>
  <si>
    <t>De universeel unieke identifier (UUID) van deze dataset binnen het RIVM.</t>
  </si>
  <si>
    <t>Iedere dataset en bijbehorende metadata heeft een unieke identifier nodig om de dataset te kunnen identificeren. Genereer er bijvoorbeeld een op deze website: https://www.uuidgenerator.net/</t>
  </si>
  <si>
    <t>Taal data</t>
  </si>
  <si>
    <t>Optioneel</t>
  </si>
  <si>
    <t>0..1</t>
  </si>
  <si>
    <t>De taal van de dataset.</t>
  </si>
  <si>
    <t>Bevat de dataset tekstuele informatie, zoals namen van kolommen of vragenlijsten? Vul dan hier de taal van die tekst in. Worden er meerdere talen door elkaar gebruikt, geef dan de taal die het meest voorkomt.</t>
  </si>
  <si>
    <t>Auteur: Naam</t>
  </si>
  <si>
    <t>1..n</t>
  </si>
  <si>
    <t>De naam van de persoon of personen die de dataset hebben samengesteld.</t>
  </si>
  <si>
    <t>Geef hier de naam van de persoon of personen die de dataset hebben samengesteld. Als de dataset niet door een persoon maar door een organisatie is samengesteld, vul dan hier de naam van de organisatie in. Ook als je je eigen naam niet wilt invullen, kun je de naam van de organisatie gebruiken. Wanneer er sprake is van meerdere organisaties of personen, scheid dan met een verticaal streepje ('|'). Bijvoorbeeld: 'Voornaam Achternaam|Voornaam Achternaam'. Wil je een organisatie invullen, gebruik dan de volledig uitgeschreven naam. Bijvoorbeeld: Rijksinstituut voor Volksgezondheid en Milieu.</t>
  </si>
  <si>
    <t>Auteur: Affiliatie</t>
  </si>
  <si>
    <t>De organisatie waarmee de auteur(s) verbonden zijn.</t>
  </si>
  <si>
    <t>Voor onderzoekers van het RIVM kun je hier 'Rijksinstituut voor Volksgezondheid en Milieu' invullen. Als een van de auteurs bij een andere organisatie werkt, zoals een ministerie of een universiteit, vul je hier de betreffende organisatie in. Wanneer er sprake is van meerdere organisaties, scheid dan met een verticaal streepje ('|'). Bijvoorbeeld: Organisatie1|Organisatie2. LET OP: Voor elke auteur moet er een organisatie zijn ingevuld. Zorg ervoor dat de volgorde van de organisaties overeenkomt met de volgorde van de namen bij 'Auteur: Naam'.</t>
  </si>
  <si>
    <t>Auteur: Identifier</t>
  </si>
  <si>
    <t>Aanbevolen</t>
  </si>
  <si>
    <t>0..n</t>
  </si>
  <si>
    <t>Een unieke identifier voor de auteur(s).</t>
  </si>
  <si>
    <t>Het gebruik van een identifier maakt het makkelijker om datasets van dezelfde auteur te vinden. Gebruik bij voorkeur een ORCID-code voor een persoon (0000-0000-0000-0000). Heb je geen ORCID? Je kunt een ORCID aanmaken op https://orcid.org. Is de auteur een organisatie, geef dan bij voorkeur de ROR. Voor het RIVM is dit https://ror.org/01cesdt21. Om de ROR van een organisatie op te zoeken, ga je naar https://ror.org/. LET OP: Zorg ervoor dat de volgorde van de identifiers overeenkomt met de volgorde van de namen bij ' Auteur: Naam'.</t>
  </si>
  <si>
    <t>Auteur: Type identifier</t>
  </si>
  <si>
    <t>Het type identifier.</t>
  </si>
  <si>
    <t>*Dit veld is verplicht als je 'Auteur: Identifier' hebt ingevuld*. Is de identifier die je hebt ingevuld een ORCID? Vul in dit veld dan 'ORCID' in. Is het een ROR? Kies hier dan voor 'ROR'. LET OP: Geef je meerdere identifiers op? Geef dan voor elke identifier ook het type, gescheiden voor een verticaal streepje.</t>
  </si>
  <si>
    <t>Contactpunt: Afdeling</t>
  </si>
  <si>
    <t>De naam van de afdeling binnen het RIVM die vragen over de dataset kan beantwoorden.</t>
  </si>
  <si>
    <t>Vul in als: 'Afdeling.Centrum.Domein.RIVM'. Bijvoorbeeld: BIR.ODD.IVO.RIVM. Er mag maximaal 1 contactpunt zijn.</t>
  </si>
  <si>
    <t>Contactpunt: E-mailadres</t>
  </si>
  <si>
    <t>Het e-mailadres van de afdeling die verantwoordelijk is voor de dataset.</t>
  </si>
  <si>
    <t>Een functioneel e-mailadres van de afdeling. Vul hier niet het mailadres van een persoon in, omdat er ook contact mogelijk moet zijn wanneer de betreffende persoon uit dienst gaat. Er mag maximaal 1 mailadres worden ingevuld.</t>
  </si>
  <si>
    <t>Een korte samenvatting over het doel en de inhoud van de dataset.</t>
  </si>
  <si>
    <t>Een goede beschrijving draagt bij aan de vindbaarheid van de dataset. Zorg ervoor dat de beschrijving duidelijk en goed te begrijpen is. Gebruik idealiter rond de 300 woorden.</t>
  </si>
  <si>
    <t>Thema</t>
  </si>
  <si>
    <t>Het belangrijkste onderwerp van de dataset.</t>
  </si>
  <si>
    <t>Kies het thema dat de dataset het beste beschrijft. In het dropdownmenu kun je kiezen uit verschillende thema's. Wil je graag meer informatie over je dataset meegeven dan mogelijk is met thema's? Gebruik dan de velden 'Beschrijving' of 'Trefwoorden'.</t>
  </si>
  <si>
    <t>Trefwoorden</t>
  </si>
  <si>
    <t>3..n</t>
  </si>
  <si>
    <t>Belangrijke termen die de dataset beschrijven.</t>
  </si>
  <si>
    <t>Door goede trefwoorden te gebruiken, wordt je dataset beter vindbaar. Scheid ze door middel van een verticaal streepje ('|'). Bijvoorbeeld: Voeding|Leefstijl|Nutriënten.</t>
  </si>
  <si>
    <t>Geografische dekking</t>
  </si>
  <si>
    <t>Het geografische gebied waar de data in de dataset over gaat.</t>
  </si>
  <si>
    <t>Geef aan welk geografisch gebied door de dataset wordt gedekt. Bijvoorbeeld een of meerdere steden, provincies of landen. Houd rekening met AVG-regels voor locatiegegevens. Meer informatie over de AVG vind je op HomeBase: https://rivmnl.sharepoint.com/sites/HomeBase_Onderwerpen/SitePages/Onderzoek-en-data.aspx</t>
  </si>
  <si>
    <t>Omvatte tijdsperiode: Begindatum</t>
  </si>
  <si>
    <t>De begindatum van de tijdsperiode waar de data in de dataset betrekking op heeft.</t>
  </si>
  <si>
    <t>Vul een begindatum in (JJJJ-MM-DD)</t>
  </si>
  <si>
    <t>Omvatte tijdsperiode: Einddatum</t>
  </si>
  <si>
    <t>De einddatum van de tijdsperiode waar de data in de dataset betrekking op heeft.</t>
  </si>
  <si>
    <t>Vul een einddatum in (JJJJ-MM-DD)</t>
  </si>
  <si>
    <t>Serie</t>
  </si>
  <si>
    <t>De naam van de datasetserie waar de dataset bij hoort.</t>
  </si>
  <si>
    <t>Als de data onderdeel uitmaakt van een serie, kun je hier de naam van de serie opgeven. Denk aan projecten waarbij elk jaar een nieuwe dataset wordt gegenereerd, of aan verschillende onderzoeken die sterk met elkaar samenhangen. Kies een specifieke naam voor de serie, om te voorkomen dat dezelfde naam voor verschillende projecten wordt gebruikt.</t>
  </si>
  <si>
    <t>Andere identifier</t>
  </si>
  <si>
    <t>Een andere code of link om de dataset te beschrijven.</t>
  </si>
  <si>
    <t>Als er al een metadatarecord van de dataset bestaat in een andere catalogus, kun je hier de identifier van dat record invullen. Of bijvoorbeeld de DOI wanneer de data openbaar is gepubliceerd.</t>
  </si>
  <si>
    <t>Documentatie</t>
  </si>
  <si>
    <t>Een pagina of document over deze dataset met aanvullende informatie.</t>
  </si>
  <si>
    <t>Hier kun je een link naar een website invullen die aanvullende informatie bevat over de dataset, zoals de projectwebsite. Of bijvoorbeeld een website met informatie over de onderzoeksmethoden of over de toegankelijkheid van de dataset. Dit kan ook de website zijn van een groter project waar het onderzoeksproject deel van uitmaakt. Als dat zo is, kan hier de URL ingevuld worden. Zorg ervoor dat je de volledige URL invoert, bijvoorbeeld: https://www.rivm.nl/</t>
  </si>
  <si>
    <t>Gerelateerde bron</t>
  </si>
  <si>
    <t>Een gerelateerde bron.</t>
  </si>
  <si>
    <t>Geef hier een link naar een bron die gerelateerd is aan deze dataset. Bijvoorbeeld een publicatie of rapport waar deze dataset voor gebruikt is. Zorg ervoor dat je de volledige URL invoert, bijvoorbeeld: https://www.rivm.nl/</t>
  </si>
  <si>
    <t>Financieringsinformatie</t>
  </si>
  <si>
    <t>Informatie over wie de dataset heeft gefinancierd.</t>
  </si>
  <si>
    <t>Gebruik het opdrachtnummer of grant ID indien mogelijk.</t>
  </si>
  <si>
    <t>Toegangsrechten</t>
  </si>
  <si>
    <t>De toegankelijkheid van de dataset</t>
  </si>
  <si>
    <t>Dit veld beschrijft de toegankelijkheid van de dataset. Je kunt kiezen uit 'Openbaar' , 'Voorwaardelijk' (dataset is toegankelijk onder bepaalde voorwaarden) en 'Niet-openbaar' (dataset is niet toegankelijk).</t>
  </si>
  <si>
    <t>Licentie</t>
  </si>
  <si>
    <t>De licentie die bij de dataset hoort.</t>
  </si>
  <si>
    <t>*vul dit veld alleen in als je als toegangsrechten 'Openbaar' hebt ingevuld*. Vul hier de open licentie in die bij de dataset hoort. CC-BY-4.0 en CC0-1.0 zijn de meest gebruikte licenties binnen het RIVM. Als je bij toegangsrechten 'Voorwaardelijk' of ' Niet-openbaar' hebt ingevuld, vul je hier 'Niet open' in. Ook zijn er een aantal licenties beschikbaar voor software. Is de licentie niet bekend, zoek dit op in het datamanagementplan (DMP) van het project of neem contact op met onderzoeksendataloket@rivm.nl. Meer informatie over licenties vind je op HomeBase: https://rivmnl.sharepoint.com/sites/HomeBase_Onderwerpen/SitePages/Open-Licenties.aspx</t>
  </si>
  <si>
    <t>Gebruiksvoorwaarden</t>
  </si>
  <si>
    <t>De voorwaarden die gelden voor het gebruik van de dataset.</t>
  </si>
  <si>
    <t>*Dit veld is verplicht als je bij toegangsrechten 'Voorwaardelijk' hebt ingevuld en daarnaast geen licentie hebt opgegeven*. Wanneer iemand toegang krijgt tot de dataset, moet duidelijk zijn onder welke voorwaarden de dataset gebruikt mag worden. In dit veld kun je extra informatie opgeven die nog niet door de licentie is gedekt. Als je hier vragen over hebt, kun je contact opnemen met je datamanager of met onderzoeksendataloket@rivm.nl</t>
  </si>
  <si>
    <t>Versie: Nummer</t>
  </si>
  <si>
    <t>Het versienummer van de dataset.</t>
  </si>
  <si>
    <t>In sommige projecten worden er meerdere versies van datasets gehanteerd. Als dat het geval is, vul je hier het versienummer van de dataset in.</t>
  </si>
  <si>
    <t>Versie: Datum</t>
  </si>
  <si>
    <t>De datum van deze versie van de dataset.</t>
  </si>
  <si>
    <t>Geef hier de datum van deze versie van de dataset (JJJJ-MM-DD).</t>
  </si>
  <si>
    <t>Status</t>
  </si>
  <si>
    <t>De status van de dataset in de levenscyclus.</t>
  </si>
  <si>
    <t>Geef aan of de dataset definitief is of in ontwikkeling. Kies uit de volgende termen: Voltooid - Verouderd - In Ontwikkeling - Stopgezet - Voorlopige gegevens - Ingetrokken.</t>
  </si>
  <si>
    <t>Bewaartermijn proces</t>
  </si>
  <si>
    <t>Conditioneel*</t>
  </si>
  <si>
    <t>Het proces waar de dataset onder valt.</t>
  </si>
  <si>
    <t>*Dit veld is alleen van toepassing op onderzoek dat door het ministerie van VWS is gefinancierd*. Kies in het dropdowmenu het proces waar de dataset onder valt. De categorieën zijn te vinden en worden toegelicht in hoofdstuk 7 in de selectielijst: https://www.nationaalarchief.nl/archiveren/kennisbank/concernbrede-selectielijst-van-het-ministerie-van-volksgezondheid-welzijn-1</t>
  </si>
  <si>
    <t>Bewaartermijn periode</t>
  </si>
  <si>
    <t>De bewaartermijn van de gegevens. Of de reden waarom de gegevens onbeperkt bewaard moeten blijven.</t>
  </si>
  <si>
    <t>*Dit veld is verplicht wanneer 'Bewaartermijn proces' is ingevuld*. De selectielijst geeft voor elk proces óf een bewaartermijn waarna de gegevens vernietigd moeten worden (V), óf  een reden waarom het document of de gegevens bewaard moeten blijven (B). Vul hier de juiste termijn of de juiste reden in.</t>
  </si>
  <si>
    <t>Bewaartermijn trigger</t>
  </si>
  <si>
    <t>De trigger van de bewaartermijn.</t>
  </si>
  <si>
    <t>*Dit veld is verplicht wanneer 'Bewaartermijn proces' is ingevuld*. Kies de trigger die bepaalt wanneer de bewaartermijn van de dataset begint te tellen. Dit kan bijvoorbeeld het moment van afronden van de dataset zijn.</t>
  </si>
  <si>
    <t>Bewaartermijn startdatum</t>
  </si>
  <si>
    <t>De startdatum van de bewaartermijn</t>
  </si>
  <si>
    <t>*Dit veld is verplicht wanneer 'Bewaartermijn proces' is ingevuld. Het veld mag echter leeg worden gelaten als de trigger nog niet heeft plaatsgevonden en de bewaartermijn nog niet is gestart*. De datum waarop de bewaartermijn begint te tellen. De datum moet worden weergegeven als JJJJ-MM-DD.</t>
  </si>
  <si>
    <t>Publiceren in externe RIVM-catalogus</t>
  </si>
  <si>
    <t>Dataset wordt gepubliceerd in de externe catalogus van het RIVM</t>
  </si>
  <si>
    <t>Vul 'Ja' in als je wilt dat de metadata in de externe RIVM-catalogus wordt gepubliceerd.</t>
  </si>
  <si>
    <t>Metadata-auteur</t>
  </si>
  <si>
    <t>Het RIVM-mailadres van de maker van de metadata</t>
  </si>
  <si>
    <t>Vul hier RIVM-het mailadres in van de persoon die het template invult. Zo kan een reviewer contact opnemen als er iets met het record moet gebeuren.</t>
  </si>
  <si>
    <t>language</t>
  </si>
  <si>
    <t>subject</t>
  </si>
  <si>
    <t>access_rights</t>
  </si>
  <si>
    <t>license</t>
  </si>
  <si>
    <t>status</t>
  </si>
  <si>
    <t>retention_process</t>
  </si>
  <si>
    <t>retention_period</t>
  </si>
  <si>
    <t>retention_trigger</t>
  </si>
  <si>
    <t>publish_to_external</t>
  </si>
  <si>
    <t>English</t>
  </si>
  <si>
    <t>Landbouw, visserij, bosbouw en voeding</t>
  </si>
  <si>
    <t>Openbaar</t>
  </si>
  <si>
    <t>CC-BY-4.0</t>
  </si>
  <si>
    <t>Voltooid</t>
  </si>
  <si>
    <t>1.1 (GWR 1.1) Het inrichten van de organisatie</t>
  </si>
  <si>
    <t>B1: Processen die betrekking hebben op kerntaken en op inrichting en sturing op de organisatie</t>
  </si>
  <si>
    <t>Niet van toepassing</t>
  </si>
  <si>
    <t>Ja</t>
  </si>
  <si>
    <t>Dutch</t>
  </si>
  <si>
    <t>Economie en financiën</t>
  </si>
  <si>
    <t>Voorwaardelijk</t>
  </si>
  <si>
    <t>CC0-1.0</t>
  </si>
  <si>
    <t>Verouderd</t>
  </si>
  <si>
    <t>1.2 (GWR 1.1) Het benoemen, schorsen of ontslaan van voorzitters, secretarissen, leden en ambtelijke adviseurs van formeel ingestelde adviesorganen, stuurgroepen en organisaties, alsook het toekennen van vergoedingen voor de verrichte diensten</t>
  </si>
  <si>
    <t>B2: Processen die betrekking hebben op de besluitvorming die de organisatie overstijgt</t>
  </si>
  <si>
    <t>B2 in het geval het organisatieonderdeel het secretariaat voert of als het secretariaat gevoerd wordt door een organisatie die niet onder de Nederlandse Archiefwet valt. V 10 in het geval het secretariaat elders wordt gevoerd</t>
  </si>
  <si>
    <t>Nee</t>
  </si>
  <si>
    <t>Onderwijs, cultuur en sport</t>
  </si>
  <si>
    <t>Niet openbaar</t>
  </si>
  <si>
    <t>CC-BY-SA-4.0</t>
  </si>
  <si>
    <t>In ontwikkeling</t>
  </si>
  <si>
    <t>1.3 (GWR 1.1) Het sturen van de organisatie op het hoogste ambtelijke en bestuurlijke niveau (strategisch niveau)</t>
  </si>
  <si>
    <t>B3: Processen die betrekking hebben op (tijdelijke) cruciale ontwikkelingen c.q. procedures</t>
  </si>
  <si>
    <t>B3 in het geval het advies is opgesteld door GR, RVS of NLsportraad</t>
  </si>
  <si>
    <t>Energie</t>
  </si>
  <si>
    <t>CC-BY-ND-4.0</t>
  </si>
  <si>
    <t>Stopgezet</t>
  </si>
  <si>
    <t>1.4 (GWR 1.4) Het sturen van de organisatie op niveaus onder het hoogste ambtelijke en bestuurlijke niveau (tactisch en operationeel niveau)</t>
  </si>
  <si>
    <t>B4: Processen die betrekking hebben op verslaglegging en planvorming</t>
  </si>
  <si>
    <t>B3 voor beleid op het beleidsterrein van het ministerie</t>
  </si>
  <si>
    <t>Milieu</t>
  </si>
  <si>
    <t>CC-BY-NC-4.0</t>
  </si>
  <si>
    <t>Voorlopige gegevens</t>
  </si>
  <si>
    <t>1.5 (GWR 1.5) Het beheersen van de organisatie</t>
  </si>
  <si>
    <t>B5: Processen die betrekking hebben op waardevolle en unieke registraties</t>
  </si>
  <si>
    <t>B3 voor een aantal gespecificeerde eindproducten, V 10 na afhandeling dossier voor de overige informatie in het proces</t>
  </si>
  <si>
    <t>Overheid en publieke sector</t>
  </si>
  <si>
    <t>CC-BY-NC-SA-4.0</t>
  </si>
  <si>
    <t>Ingetrokken</t>
  </si>
  <si>
    <t>2.1 (GWR 2.1 en 2.2) Het maken, verantwoorden, uitdragen en evalueren van beleid</t>
  </si>
  <si>
    <t>V 3 maanden</t>
  </si>
  <si>
    <t>B3 voor het beantwoorden van Kamervragen, vragen van Europese instellingen en het voorbereiden van een standpunt ter inbrenging in de ministerraad, onderraden of de Staten-Generaal</t>
  </si>
  <si>
    <t>Gezondheid</t>
  </si>
  <si>
    <t>CC-BY-NC-ND-4.0</t>
  </si>
  <si>
    <t>2.2 (GWR 2.3) Het adviseren van andere overheidsorganisaties en internationale organisaties over het maken van beleid</t>
  </si>
  <si>
    <t>V 1 jaar</t>
  </si>
  <si>
    <t>B3 voor het onderzoeksvoorstel en -plan, tussenrapportages, eindrapportages en eindresultaten, verklaring van decharge</t>
  </si>
  <si>
    <t>Internationale vraagstukken</t>
  </si>
  <si>
    <t>Niet open</t>
  </si>
  <si>
    <t>2.3 (GWR 2.3) Het adviseren van andere overheidsorganisaties over het uitvoeren van beleid</t>
  </si>
  <si>
    <t>V 2 jaar</t>
  </si>
  <si>
    <t>B4 voor eindproducten, V 5 voor overige informatie in het proces na publicatie van het eindproduct</t>
  </si>
  <si>
    <t>Justitie, rechtsstelsel en openbare veiligheid</t>
  </si>
  <si>
    <t>EUPL-1.2</t>
  </si>
  <si>
    <t>2.4 Het voorbereiden van, deelnemen aan en terugkoppelen uit overlegstructuren op rijksbreed en interdepartementaal niveau</t>
  </si>
  <si>
    <t>V 5 jaar</t>
  </si>
  <si>
    <t>V 1 na afhandeling dossier</t>
  </si>
  <si>
    <t>Regio's en steden</t>
  </si>
  <si>
    <t>Unlicense</t>
  </si>
  <si>
    <t>3.1 (GWR 3.1) Het maken van wet- en regelgeving</t>
  </si>
  <si>
    <t>V 7 jaar</t>
  </si>
  <si>
    <t>V 5 na afhandeling dossier</t>
  </si>
  <si>
    <t>Bevolking en samenleving</t>
  </si>
  <si>
    <t>MIT</t>
  </si>
  <si>
    <t>3.2 (GWR 3.2) Het adviseren over het maken van wet- en regelgeving aan departementen en internationale organisaties</t>
  </si>
  <si>
    <t>V 10 jaar</t>
  </si>
  <si>
    <t>V 5 na afhandeling verzoek</t>
  </si>
  <si>
    <t>Wetenschap en technologie</t>
  </si>
  <si>
    <t>Apache-2.0</t>
  </si>
  <si>
    <t>4.1 Het (mede) opstellen van de rijksbegroting en de ramingen voor de volgende jaren</t>
  </si>
  <si>
    <t>V 20 jaar</t>
  </si>
  <si>
    <t>V 5 voor overige informatie in het proces na publicatie van het eindproduct</t>
  </si>
  <si>
    <t>Vervoer</t>
  </si>
  <si>
    <t>BSL-1.0</t>
  </si>
  <si>
    <t>5.1 (GWR 5.1) Het verrichten van woordvoering en publieksvoorlichting</t>
  </si>
  <si>
    <t>V 25 jaar</t>
  </si>
  <si>
    <t>V 7 na afhandeling dossier</t>
  </si>
  <si>
    <t>MPL-2.0</t>
  </si>
  <si>
    <t>5.2 (GWR 5.2) Klachten en meldingen over mogelijke misstanden</t>
  </si>
  <si>
    <t>V 30 jaar</t>
  </si>
  <si>
    <t>V 7 na afhandeling dossier voor financiering</t>
  </si>
  <si>
    <t>LGPL-3.0-or-later</t>
  </si>
  <si>
    <t>5.3 Het afhandelen van verzoeken om informatie op grond van de Wet openbaarheid van bestuur (Wob) en de Wet open overheid (Woo)</t>
  </si>
  <si>
    <t>V 40 jaar</t>
  </si>
  <si>
    <t>V 7 na vaststelling begroting</t>
  </si>
  <si>
    <t>GPL-3.0-or-later</t>
  </si>
  <si>
    <t>5.4 Het behandelen van een verzoek in het kader van de Algemene Verordening Gegevensbescherming (AVG)</t>
  </si>
  <si>
    <t>V 75 jaar</t>
  </si>
  <si>
    <t>V 7 na vervallen benoeming, schorsing, ontslag of terugtreding</t>
  </si>
  <si>
    <t>AGPL-3.0-or-later</t>
  </si>
  <si>
    <t>6.1 (GWR 6.2) Het houden van standaard toezicht op organisatieonderdelen en ZBO’s vanuit het kerndepartement</t>
  </si>
  <si>
    <t>V 10 na afhandeling dossier</t>
  </si>
  <si>
    <t>7.4 Het registreren en onderzoeken van klachten en meldingen op het gebied van volksgezondheid en milieu</t>
  </si>
  <si>
    <t>V 10 na afhandeling dossier voor de overige informatie in het proces</t>
  </si>
  <si>
    <t>8.1 (GWR 8.1 en 8.2) Het uitvoeren of laten uitvoeren van (wetenschappelijk) onderzoek</t>
  </si>
  <si>
    <t>V 10 na afhandeling verzoek</t>
  </si>
  <si>
    <t>8.2 Het uitvoeren van routinematig onderzoek</t>
  </si>
  <si>
    <t>V 10 na afronden onderzoek</t>
  </si>
  <si>
    <t>8.3 Het (periodiek) verzamelen en verwerken van gegevens voor onderzoek in opdracht</t>
  </si>
  <si>
    <t>V 10 na expiratiedatum</t>
  </si>
  <si>
    <t>8.4 Het (periodiek) verzamelen en verwerken van medische gegevens ten behoeve van dossiervorming patiënt-/cliëntcontact</t>
  </si>
  <si>
    <t>V 10 na uitbrengen advies</t>
  </si>
  <si>
    <t>8.5 Het (periodiek) verzamelen en verwerken van gegevens en materialen die dienen als referentiegegevens en -materialen</t>
  </si>
  <si>
    <t>V 10 na vaststellen nieuw plan</t>
  </si>
  <si>
    <t>8.6 Het beheren van documentatie over materialen ten behoeve van (toekomstig) onderzoek op het gebied van volksgezondheid en milieu (niet zijnde referentiemateriaal)</t>
  </si>
  <si>
    <t>V 10 na vervallen belang (runs kunnen meerdere jaren worden voortgezet)</t>
  </si>
  <si>
    <t>8.7 Het uitvoeren van surveillance</t>
  </si>
  <si>
    <t>V 10 voor de overige informatie in het proces</t>
  </si>
  <si>
    <t>8.8 Het ontwikkelen van vaccins (onderzoek en receptuur)</t>
  </si>
  <si>
    <t>V 20 na afhandeling dossier</t>
  </si>
  <si>
    <t>8.9 Het uitvoeren van klinisch geneesmiddelenonderzoek</t>
  </si>
  <si>
    <t>V 20 na afronding surveillance</t>
  </si>
  <si>
    <t>8.10 Het uitvoeren van onderzoek naar advanced therapeutic medicinal products (ATMPs)</t>
  </si>
  <si>
    <t>V 20 na uitbrengen advies</t>
  </si>
  <si>
    <t>9.1 (GWR 9.1) Het uitvoeren van intern beleid op het gebied van personeel</t>
  </si>
  <si>
    <t>V 20 voor intern beleid op ondersteunende functies</t>
  </si>
  <si>
    <t>9.2 Het (schriftelijk) melden of aanvragen van vrijstelling of ontheffing of melden van voornemens inzake arbeid met gevaarlijke stoffen en de wijzigingen daarin of gevaarlijke arbeidsomstandigheden</t>
  </si>
  <si>
    <t>V 25 voor transcripten van ruwe data</t>
  </si>
  <si>
    <t>9.3 Het inventariseren en evalueren van de gevaren van arbeid waarbij werknemers worden blootgesteld aan gevaarlijke stoffen of gevaarlijke omstandigheden</t>
  </si>
  <si>
    <t>9.4 Het uitvoeren van intern beleid op het gebied van duurzame informatievoorziening en -huishouding</t>
  </si>
  <si>
    <t>9.5 Het uitvoeren van intern beleid op het gebied van automatisering en ICT</t>
  </si>
  <si>
    <t>9.6 Het uitvoeren van intern beleid op grond van redundant zekerstellen van inkomende en uitgaande primair proces gegevens</t>
  </si>
  <si>
    <t>9.7 (GWR 9.3) Het uitvoeren van intern beleid op het gebied van organisatie</t>
  </si>
  <si>
    <t>9.8 (GWR 9.4) Het uitvoeren van intern beleid op het gebied van financiën</t>
  </si>
  <si>
    <t>9.9 (GWR 9.5) Het uitvoeren van intern beleid op het gebied van algemene zaken</t>
  </si>
  <si>
    <t>9.10 (GWR 9.6) Het uitvoeren van intern beleid op het gebied van communicatie</t>
  </si>
  <si>
    <t>9.11 (GWR 9.7) Het uitvoeren van intern beleid op het gebied van huisvesting</t>
  </si>
  <si>
    <t>9.12 (GWR 9.8) Het opstellen, wijzigen en intrekken van interne kaders en regelgeving op het gebied van ondersteunende functies (PIOFACH)</t>
  </si>
  <si>
    <t>10.31 Het (ondersteunen van) het uitvoeren van controles op geneesmiddelen en vaccins en het verrichten van onderzoek hiertoe voor vrijgifte op de markt</t>
  </si>
  <si>
    <t>10.44 Het niet in behandeling nemen van aanvragen of verzoeken</t>
  </si>
  <si>
    <t>10.47 Het voorbereiden en uitvoeren van productie en aflevering van vaccins</t>
  </si>
  <si>
    <t>10.48 Het verlenen van onderscheidingen en ereblijken</t>
  </si>
  <si>
    <t>12.1 (GWR 12.1) Het vertegenwoordigen van de minister of Staat in internationale procedures</t>
  </si>
  <si>
    <t>12.3 (GWR 12.2) Het vertegenwoordigen van de minister of Staat in nationale procedures</t>
  </si>
  <si>
    <t>13.1 (GWR 13.1) Het verzorgen van gastheerschap voor vertegenwoordiging van landen en internationale organisaties</t>
  </si>
  <si>
    <t>13.2 (GWR 13.2) Het inhoudelijk bijdragen aan staatsbezoeken</t>
  </si>
  <si>
    <t>13.3 (GWR 13.3) Het uitvoeren van belangenbehartiging</t>
  </si>
  <si>
    <t>13.4 (GWR 13.4) Het verzorgen van het gastheerschap voor individuele personen</t>
  </si>
  <si>
    <t>13.5 (GWR 13.5) Het verzorgen van (de logistiek van) staatsbezoeken, bezoeken van regeringsleiders, hoge ambtenaren, handelsmissies en uitwisselingsprogramma’s</t>
  </si>
  <si>
    <t>13.6 (GWR 13.6) Het verrichten van representatieve taken en diplomatieke uitingen</t>
  </si>
  <si>
    <t>13.7 (GWR 13.7) Het aangaan van samenwerkingsverbanden</t>
  </si>
  <si>
    <t>13.8 (GWR 13.8) Het deelnemen aan (internationale) organisaties, commissies en samenwerkingsverbanden</t>
  </si>
  <si>
    <t>14.1 (GWR 14.1) Het coördineren en het treffen van maatregelen bij een crisis of calamiteit</t>
  </si>
  <si>
    <t>14.2 (GWR 14.2) Het rapporteren over signalen die duiden op mogelijke aanstaande crises en rampen</t>
  </si>
  <si>
    <t>14.3 Het opstellen van overzichten en prognoses en het uitvoeren van metingen ter bepaling van crisissituaties en de gevolgen ervan op termijn</t>
  </si>
  <si>
    <t>14.4 Het voorbereiden en uitvoeren van calamiteitenmanagement op het gebied van bedrijfscontinuïteit, veiligheid en reputatie/imago</t>
  </si>
  <si>
    <t>14.5 Het (operationeel) voorbereiden van een crisis of calamiteit</t>
  </si>
  <si>
    <t>*4.5 Het (periodiek) verzamelen en verwerken van gegevens op gebied van volksgezondheid en milieu ten behoeve van onderzoek en monitoring</t>
  </si>
  <si>
    <t>*4.6 Het (periodiek) verzamelen en verwerken van medische gegevens ten behoeve van onderzoek en monitoring op het gebied van volksgezondheid en milieu</t>
  </si>
  <si>
    <t>Nathalie Dierichs</t>
  </si>
  <si>
    <t>nathalie.dierichs@rivm.nl</t>
  </si>
  <si>
    <t>In vitro testbatterij  ontwikkelingsneurotoxiciteit voor schildklierhormoon-gemedieerde ontwikkelingsneurotoxiciteit met neuronal cellijnen</t>
  </si>
  <si>
    <t>Rijksinstituut voor Volksgezondheid en Milieu | Erasmus Medisch Centrum Rotterdam</t>
  </si>
  <si>
    <t>VTS.GZB.V&amp;Z.RIVM</t>
  </si>
  <si>
    <t>ellen.hessel@rivm.nl</t>
  </si>
  <si>
    <t>schildklier | hersenen| in vitro | toxiciteit | hormoonverstoring | alternatieven voor dierproeven |hersencellen</t>
  </si>
  <si>
    <t>VHP4Safety_WP2.4_TH-DNT</t>
  </si>
  <si>
    <t>NWA 1292.19.272</t>
  </si>
  <si>
    <t>Op dit moment alleen toegangelijk onder de consortium agreement van VHP4Safety</t>
  </si>
  <si>
    <t>0009-0000-5074-6239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</si>
</sst>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8"/>
      <name val="Calibri"/>
      <family val="2"/>
    </font>
    <font>
      <b/>
      <sz val="11"/>
      <name val="Calibri"/>
      <family val="2"/>
    </font>
    <font>
      <b/>
      <sz val="11"/>
      <color rgb="FFFFFFFF"/>
      <name val="Calibri"/>
      <family val="2"/>
    </font>
    <font>
      <sz val="11"/>
      <color rgb="FF000000"/>
      <name val="Calibri"/>
      <family val="2"/>
    </font>
    <font>
      <u/>
      <sz val="11"/>
      <color theme="10"/>
      <name val="Calibri"/>
      <family val="2"/>
      <scheme val="minor"/>
    </font>
  </fonts>
  <fills count="4">
    <fill>
      <patternFill patternType="none"/>
    </fill>
    <fill>
      <patternFill patternType="gray125"/>
    </fill>
    <fill>
      <patternFill patternType="solid">
        <fgColor rgb="FFD74085"/>
      </patternFill>
    </fill>
    <fill>
      <patternFill patternType="solid">
        <fgColor rgb="FFF7D9E7"/>
      </patternFill>
    </fill>
  </fills>
  <borders count="3">
    <border>
      <left/>
      <right/>
      <top/>
      <bottom/>
      <diagonal/>
    </border>
    <border>
      <left/>
      <right/>
      <top style="thin">
        <color rgb="FFEFB2CE"/>
      </top>
      <bottom style="thin">
        <color rgb="FFEFB2CE"/>
      </bottom>
      <diagonal/>
    </border>
    <border>
      <left/>
      <right style="thin">
        <color rgb="FFEFB2CE"/>
      </right>
      <top style="thin">
        <color rgb="FFEFB2CE"/>
      </top>
      <bottom style="thin">
        <color rgb="FFEFB2CE"/>
      </bottom>
      <diagonal/>
    </border>
  </borders>
  <cellStyleXfs count="200">
    <xf numFmtId="0" fontId="0" fillId="0" borderId="0"/>
    <xf numFmtId="49" fontId="3" fillId="2" borderId="1">
      <alignment wrapText="1"/>
    </xf>
    <xf numFmtId="49" fontId="3" fillId="2" borderId="1">
      <alignment wrapText="1"/>
    </xf>
    <xf numFmtId="49" fontId="3" fillId="2" borderId="1">
      <alignment wrapText="1"/>
    </xf>
    <xf numFmtId="49" fontId="3" fillId="2" borderId="1">
      <alignment wrapText="1"/>
    </xf>
    <xf numFmtId="49" fontId="3" fillId="2" borderId="1">
      <alignment wrapText="1"/>
    </xf>
    <xf numFmtId="49" fontId="3" fillId="2" borderId="2">
      <alignment wrapText="1"/>
    </xf>
    <xf numFmtId="49" fontId="4" fillId="3" borderId="1">
      <alignment wrapText="1"/>
    </xf>
    <xf numFmtId="49" fontId="4" fillId="3" borderId="1">
      <alignment wrapText="1"/>
    </xf>
    <xf numFmtId="49" fontId="4" fillId="3" borderId="1">
      <alignment wrapText="1"/>
    </xf>
    <xf numFmtId="49" fontId="4" fillId="3" borderId="1">
      <alignment wrapText="1"/>
    </xf>
    <xf numFmtId="49" fontId="4" fillId="3" borderId="1">
      <alignment wrapText="1"/>
    </xf>
    <xf numFmtId="49" fontId="4" fillId="3" borderId="2">
      <alignment wrapText="1"/>
    </xf>
    <xf numFmtId="49" fontId="4" fillId="0" borderId="1">
      <alignment wrapText="1"/>
    </xf>
    <xf numFmtId="49" fontId="4" fillId="0" borderId="1">
      <alignment wrapText="1"/>
    </xf>
    <xf numFmtId="49" fontId="4" fillId="0" borderId="1">
      <alignment wrapText="1"/>
    </xf>
    <xf numFmtId="49" fontId="4" fillId="0" borderId="1">
      <alignment wrapText="1"/>
    </xf>
    <xf numFmtId="49" fontId="4" fillId="0" borderId="1">
      <alignment wrapText="1"/>
    </xf>
    <xf numFmtId="49" fontId="4" fillId="0" borderId="2">
      <alignment wrapText="1"/>
    </xf>
    <xf numFmtId="49" fontId="4" fillId="3" borderId="1">
      <alignment wrapText="1"/>
    </xf>
    <xf numFmtId="49" fontId="4" fillId="3" borderId="1">
      <alignment wrapText="1"/>
    </xf>
    <xf numFmtId="49" fontId="4" fillId="3" borderId="1">
      <alignment wrapText="1"/>
    </xf>
    <xf numFmtId="49" fontId="4" fillId="3" borderId="1">
      <alignment wrapText="1"/>
    </xf>
    <xf numFmtId="49" fontId="4" fillId="3" borderId="1">
      <alignment wrapText="1"/>
    </xf>
    <xf numFmtId="49" fontId="4" fillId="3" borderId="2">
      <alignment wrapText="1"/>
    </xf>
    <xf numFmtId="49" fontId="4" fillId="0" borderId="1">
      <alignment wrapText="1"/>
    </xf>
    <xf numFmtId="49" fontId="4" fillId="0" borderId="1">
      <alignment wrapText="1"/>
    </xf>
    <xf numFmtId="49" fontId="4" fillId="0" borderId="1">
      <alignment wrapText="1"/>
    </xf>
    <xf numFmtId="49" fontId="4" fillId="0" borderId="1">
      <alignment wrapText="1"/>
    </xf>
    <xf numFmtId="49" fontId="4" fillId="0" borderId="1">
      <alignment wrapText="1"/>
    </xf>
    <xf numFmtId="49" fontId="4" fillId="0" borderId="2">
      <alignment wrapText="1"/>
    </xf>
    <xf numFmtId="49" fontId="4" fillId="3" borderId="1">
      <alignment wrapText="1"/>
    </xf>
    <xf numFmtId="49" fontId="4" fillId="3" borderId="1">
      <alignment wrapText="1"/>
    </xf>
    <xf numFmtId="49" fontId="4" fillId="3" borderId="1">
      <alignment wrapText="1"/>
    </xf>
    <xf numFmtId="49" fontId="4" fillId="3" borderId="1">
      <alignment wrapText="1"/>
    </xf>
    <xf numFmtId="49" fontId="4" fillId="3" borderId="1">
      <alignment wrapText="1"/>
    </xf>
    <xf numFmtId="49" fontId="4" fillId="3" borderId="2">
      <alignment wrapText="1"/>
    </xf>
    <xf numFmtId="49" fontId="4" fillId="0" borderId="1">
      <alignment wrapText="1"/>
    </xf>
    <xf numFmtId="49" fontId="4" fillId="0" borderId="1">
      <alignment wrapText="1"/>
    </xf>
    <xf numFmtId="49" fontId="4" fillId="0" borderId="1">
      <alignment wrapText="1"/>
    </xf>
    <xf numFmtId="49" fontId="4" fillId="0" borderId="1">
      <alignment wrapText="1"/>
    </xf>
    <xf numFmtId="49" fontId="4" fillId="0" borderId="1">
      <alignment wrapText="1"/>
    </xf>
    <xf numFmtId="49" fontId="4" fillId="0" borderId="2">
      <alignment wrapText="1"/>
    </xf>
    <xf numFmtId="49" fontId="4" fillId="3" borderId="1">
      <alignment wrapText="1"/>
    </xf>
    <xf numFmtId="49" fontId="4" fillId="3" borderId="1">
      <alignment wrapText="1"/>
    </xf>
    <xf numFmtId="49" fontId="4" fillId="3" borderId="1">
      <alignment wrapText="1"/>
    </xf>
    <xf numFmtId="49" fontId="4" fillId="3" borderId="1">
      <alignment wrapText="1"/>
    </xf>
    <xf numFmtId="49" fontId="4" fillId="3" borderId="1">
      <alignment wrapText="1"/>
    </xf>
    <xf numFmtId="49" fontId="4" fillId="3" borderId="2">
      <alignment wrapText="1"/>
    </xf>
    <xf numFmtId="49" fontId="4" fillId="0" borderId="1">
      <alignment wrapText="1"/>
    </xf>
    <xf numFmtId="49" fontId="4" fillId="0" borderId="1">
      <alignment wrapText="1"/>
    </xf>
    <xf numFmtId="49" fontId="4" fillId="0" borderId="1">
      <alignment wrapText="1"/>
    </xf>
    <xf numFmtId="49" fontId="4" fillId="0" borderId="1">
      <alignment wrapText="1"/>
    </xf>
    <xf numFmtId="49" fontId="4" fillId="0" borderId="1">
      <alignment wrapText="1"/>
    </xf>
    <xf numFmtId="49" fontId="4" fillId="0" borderId="2">
      <alignment wrapText="1"/>
    </xf>
    <xf numFmtId="49" fontId="4" fillId="3" borderId="1">
      <alignment wrapText="1"/>
    </xf>
    <xf numFmtId="49" fontId="4" fillId="3" borderId="1">
      <alignment wrapText="1"/>
    </xf>
    <xf numFmtId="49" fontId="4" fillId="3" borderId="1">
      <alignment wrapText="1"/>
    </xf>
    <xf numFmtId="49" fontId="4" fillId="3" borderId="1">
      <alignment wrapText="1"/>
    </xf>
    <xf numFmtId="49" fontId="4" fillId="3" borderId="1">
      <alignment wrapText="1"/>
    </xf>
    <xf numFmtId="49" fontId="4" fillId="3" borderId="2">
      <alignment wrapText="1"/>
    </xf>
    <xf numFmtId="49" fontId="4" fillId="0" borderId="1">
      <alignment wrapText="1"/>
    </xf>
    <xf numFmtId="49" fontId="4" fillId="0" borderId="1">
      <alignment wrapText="1"/>
    </xf>
    <xf numFmtId="49" fontId="4" fillId="0" borderId="1">
      <alignment wrapText="1"/>
    </xf>
    <xf numFmtId="49" fontId="4" fillId="0" borderId="1">
      <alignment wrapText="1"/>
    </xf>
    <xf numFmtId="49" fontId="4" fillId="0" borderId="1">
      <alignment wrapText="1"/>
    </xf>
    <xf numFmtId="49" fontId="4" fillId="0" borderId="2">
      <alignment wrapText="1"/>
    </xf>
    <xf numFmtId="49" fontId="4" fillId="3" borderId="1">
      <alignment wrapText="1"/>
    </xf>
    <xf numFmtId="49" fontId="4" fillId="3" borderId="1">
      <alignment wrapText="1"/>
    </xf>
    <xf numFmtId="49" fontId="4" fillId="3" borderId="1">
      <alignment wrapText="1"/>
    </xf>
    <xf numFmtId="49" fontId="4" fillId="3" borderId="1">
      <alignment wrapText="1"/>
    </xf>
    <xf numFmtId="49" fontId="4" fillId="3" borderId="1">
      <alignment wrapText="1"/>
    </xf>
    <xf numFmtId="49" fontId="4" fillId="3" borderId="2">
      <alignment wrapText="1"/>
    </xf>
    <xf numFmtId="49" fontId="4" fillId="0" borderId="1">
      <alignment wrapText="1"/>
    </xf>
    <xf numFmtId="49" fontId="4" fillId="0" borderId="1">
      <alignment wrapText="1"/>
    </xf>
    <xf numFmtId="49" fontId="4" fillId="0" borderId="1">
      <alignment wrapText="1"/>
    </xf>
    <xf numFmtId="49" fontId="4" fillId="0" borderId="1">
      <alignment wrapText="1"/>
    </xf>
    <xf numFmtId="49" fontId="4" fillId="0" borderId="1">
      <alignment wrapText="1"/>
    </xf>
    <xf numFmtId="49" fontId="4" fillId="0" borderId="2">
      <alignment wrapText="1"/>
    </xf>
    <xf numFmtId="49" fontId="4" fillId="3" borderId="1">
      <alignment wrapText="1"/>
    </xf>
    <xf numFmtId="49" fontId="4" fillId="3" borderId="1">
      <alignment wrapText="1"/>
    </xf>
    <xf numFmtId="49" fontId="4" fillId="3" borderId="1">
      <alignment wrapText="1"/>
    </xf>
    <xf numFmtId="49" fontId="4" fillId="3" borderId="1">
      <alignment wrapText="1"/>
    </xf>
    <xf numFmtId="49" fontId="4" fillId="3" borderId="1">
      <alignment wrapText="1"/>
    </xf>
    <xf numFmtId="49" fontId="4" fillId="3" borderId="2">
      <alignment wrapText="1"/>
    </xf>
    <xf numFmtId="49" fontId="4" fillId="0" borderId="1">
      <alignment wrapText="1"/>
    </xf>
    <xf numFmtId="49" fontId="4" fillId="0" borderId="1">
      <alignment wrapText="1"/>
    </xf>
    <xf numFmtId="49" fontId="4" fillId="0" borderId="1">
      <alignment wrapText="1"/>
    </xf>
    <xf numFmtId="49" fontId="4" fillId="0" borderId="1">
      <alignment wrapText="1"/>
    </xf>
    <xf numFmtId="49" fontId="4" fillId="0" borderId="1">
      <alignment wrapText="1"/>
    </xf>
    <xf numFmtId="49" fontId="4" fillId="0" borderId="2">
      <alignment wrapText="1"/>
    </xf>
    <xf numFmtId="49" fontId="4" fillId="3" borderId="1">
      <alignment wrapText="1"/>
    </xf>
    <xf numFmtId="49" fontId="4" fillId="3" borderId="1">
      <alignment wrapText="1"/>
    </xf>
    <xf numFmtId="49" fontId="4" fillId="3" borderId="1">
      <alignment wrapText="1"/>
    </xf>
    <xf numFmtId="49" fontId="4" fillId="3" borderId="1">
      <alignment wrapText="1"/>
    </xf>
    <xf numFmtId="49" fontId="4" fillId="3" borderId="1">
      <alignment wrapText="1"/>
    </xf>
    <xf numFmtId="49" fontId="4" fillId="3" borderId="2">
      <alignment wrapText="1"/>
    </xf>
    <xf numFmtId="49" fontId="4" fillId="0" borderId="1">
      <alignment wrapText="1"/>
    </xf>
    <xf numFmtId="49" fontId="4" fillId="0" borderId="1">
      <alignment wrapText="1"/>
    </xf>
    <xf numFmtId="49" fontId="4" fillId="0" borderId="1">
      <alignment wrapText="1"/>
    </xf>
    <xf numFmtId="49" fontId="4" fillId="0" borderId="1">
      <alignment wrapText="1"/>
    </xf>
    <xf numFmtId="49" fontId="4" fillId="0" borderId="1">
      <alignment wrapText="1"/>
    </xf>
    <xf numFmtId="49" fontId="4" fillId="0" borderId="2">
      <alignment wrapText="1"/>
    </xf>
    <xf numFmtId="49" fontId="4" fillId="3" borderId="1">
      <alignment wrapText="1"/>
    </xf>
    <xf numFmtId="49" fontId="4" fillId="3" borderId="1">
      <alignment wrapText="1"/>
    </xf>
    <xf numFmtId="49" fontId="4" fillId="3" borderId="1">
      <alignment wrapText="1"/>
    </xf>
    <xf numFmtId="49" fontId="4" fillId="3" borderId="1">
      <alignment wrapText="1"/>
    </xf>
    <xf numFmtId="49" fontId="4" fillId="3" borderId="1">
      <alignment wrapText="1"/>
    </xf>
    <xf numFmtId="49" fontId="4" fillId="3" borderId="2">
      <alignment wrapText="1"/>
    </xf>
    <xf numFmtId="49" fontId="4" fillId="0" borderId="1">
      <alignment wrapText="1"/>
    </xf>
    <xf numFmtId="49" fontId="4" fillId="0" borderId="1">
      <alignment wrapText="1"/>
    </xf>
    <xf numFmtId="49" fontId="4" fillId="0" borderId="1">
      <alignment wrapText="1"/>
    </xf>
    <xf numFmtId="49" fontId="4" fillId="0" borderId="1">
      <alignment wrapText="1"/>
    </xf>
    <xf numFmtId="49" fontId="4" fillId="0" borderId="1">
      <alignment wrapText="1"/>
    </xf>
    <xf numFmtId="49" fontId="4" fillId="0" borderId="2">
      <alignment wrapText="1"/>
    </xf>
    <xf numFmtId="49" fontId="4" fillId="3" borderId="1">
      <alignment wrapText="1"/>
    </xf>
    <xf numFmtId="49" fontId="4" fillId="3" borderId="1">
      <alignment wrapText="1"/>
    </xf>
    <xf numFmtId="49" fontId="4" fillId="3" borderId="1">
      <alignment wrapText="1"/>
    </xf>
    <xf numFmtId="49" fontId="4" fillId="3" borderId="1">
      <alignment wrapText="1"/>
    </xf>
    <xf numFmtId="49" fontId="4" fillId="3" borderId="1">
      <alignment wrapText="1"/>
    </xf>
    <xf numFmtId="49" fontId="4" fillId="3" borderId="2">
      <alignment wrapText="1"/>
    </xf>
    <xf numFmtId="49" fontId="4" fillId="0" borderId="1">
      <alignment wrapText="1"/>
    </xf>
    <xf numFmtId="49" fontId="4" fillId="0" borderId="1">
      <alignment wrapText="1"/>
    </xf>
    <xf numFmtId="49" fontId="4" fillId="0" borderId="1">
      <alignment wrapText="1"/>
    </xf>
    <xf numFmtId="49" fontId="4" fillId="0" borderId="1">
      <alignment wrapText="1"/>
    </xf>
    <xf numFmtId="49" fontId="4" fillId="0" borderId="1">
      <alignment wrapText="1"/>
    </xf>
    <xf numFmtId="49" fontId="4" fillId="0" borderId="2">
      <alignment wrapText="1"/>
    </xf>
    <xf numFmtId="49" fontId="4" fillId="3" borderId="1">
      <alignment wrapText="1"/>
    </xf>
    <xf numFmtId="49" fontId="4" fillId="3" borderId="1">
      <alignment wrapText="1"/>
    </xf>
    <xf numFmtId="49" fontId="4" fillId="3" borderId="1">
      <alignment wrapText="1"/>
    </xf>
    <xf numFmtId="49" fontId="4" fillId="3" borderId="1">
      <alignment wrapText="1"/>
    </xf>
    <xf numFmtId="49" fontId="4" fillId="3" borderId="1">
      <alignment wrapText="1"/>
    </xf>
    <xf numFmtId="49" fontId="4" fillId="3" borderId="2">
      <alignment wrapText="1"/>
    </xf>
    <xf numFmtId="49" fontId="4" fillId="0" borderId="1">
      <alignment wrapText="1"/>
    </xf>
    <xf numFmtId="49" fontId="4" fillId="0" borderId="1">
      <alignment wrapText="1"/>
    </xf>
    <xf numFmtId="49" fontId="4" fillId="0" borderId="1">
      <alignment wrapText="1"/>
    </xf>
    <xf numFmtId="49" fontId="4" fillId="0" borderId="1">
      <alignment wrapText="1"/>
    </xf>
    <xf numFmtId="49" fontId="4" fillId="0" borderId="1">
      <alignment wrapText="1"/>
    </xf>
    <xf numFmtId="49" fontId="4" fillId="0" borderId="2">
      <alignment wrapText="1"/>
    </xf>
    <xf numFmtId="49" fontId="4" fillId="3" borderId="1">
      <alignment wrapText="1"/>
    </xf>
    <xf numFmtId="49" fontId="4" fillId="3" borderId="1">
      <alignment wrapText="1"/>
    </xf>
    <xf numFmtId="49" fontId="4" fillId="3" borderId="1">
      <alignment wrapText="1"/>
    </xf>
    <xf numFmtId="49" fontId="4" fillId="3" borderId="1">
      <alignment wrapText="1"/>
    </xf>
    <xf numFmtId="49" fontId="4" fillId="3" borderId="1">
      <alignment wrapText="1"/>
    </xf>
    <xf numFmtId="49" fontId="4" fillId="3" borderId="2">
      <alignment wrapText="1"/>
    </xf>
    <xf numFmtId="49" fontId="4" fillId="0" borderId="1">
      <alignment wrapText="1"/>
    </xf>
    <xf numFmtId="49" fontId="4" fillId="0" borderId="1">
      <alignment wrapText="1"/>
    </xf>
    <xf numFmtId="49" fontId="4" fillId="0" borderId="1">
      <alignment wrapText="1"/>
    </xf>
    <xf numFmtId="49" fontId="4" fillId="0" borderId="1">
      <alignment wrapText="1"/>
    </xf>
    <xf numFmtId="49" fontId="4" fillId="0" borderId="1">
      <alignment wrapText="1"/>
    </xf>
    <xf numFmtId="49" fontId="4" fillId="0" borderId="2">
      <alignment wrapText="1"/>
    </xf>
    <xf numFmtId="49" fontId="4" fillId="3" borderId="1">
      <alignment wrapText="1"/>
    </xf>
    <xf numFmtId="49" fontId="4" fillId="3" borderId="1">
      <alignment wrapText="1"/>
    </xf>
    <xf numFmtId="49" fontId="4" fillId="3" borderId="1">
      <alignment wrapText="1"/>
    </xf>
    <xf numFmtId="49" fontId="4" fillId="3" borderId="1">
      <alignment wrapText="1"/>
    </xf>
    <xf numFmtId="49" fontId="4" fillId="3" borderId="1">
      <alignment wrapText="1"/>
    </xf>
    <xf numFmtId="49" fontId="4" fillId="3" borderId="2">
      <alignment wrapText="1"/>
    </xf>
    <xf numFmtId="49" fontId="4" fillId="0" borderId="1">
      <alignment wrapText="1"/>
    </xf>
    <xf numFmtId="49" fontId="4" fillId="0" borderId="1">
      <alignment wrapText="1"/>
    </xf>
    <xf numFmtId="49" fontId="4" fillId="0" borderId="1">
      <alignment wrapText="1"/>
    </xf>
    <xf numFmtId="49" fontId="4" fillId="0" borderId="1">
      <alignment wrapText="1"/>
    </xf>
    <xf numFmtId="49" fontId="4" fillId="0" borderId="1">
      <alignment wrapText="1"/>
    </xf>
    <xf numFmtId="49" fontId="4" fillId="0" borderId="2">
      <alignment wrapText="1"/>
    </xf>
    <xf numFmtId="49" fontId="4" fillId="3" borderId="1">
      <alignment wrapText="1"/>
    </xf>
    <xf numFmtId="49" fontId="4" fillId="3" borderId="1">
      <alignment wrapText="1"/>
    </xf>
    <xf numFmtId="49" fontId="4" fillId="3" borderId="1">
      <alignment wrapText="1"/>
    </xf>
    <xf numFmtId="49" fontId="4" fillId="3" borderId="1">
      <alignment wrapText="1"/>
    </xf>
    <xf numFmtId="49" fontId="4" fillId="3" borderId="1">
      <alignment wrapText="1"/>
    </xf>
    <xf numFmtId="49" fontId="4" fillId="3" borderId="2">
      <alignment wrapText="1"/>
    </xf>
    <xf numFmtId="49" fontId="4" fillId="0" borderId="1">
      <alignment wrapText="1"/>
    </xf>
    <xf numFmtId="49" fontId="4" fillId="0" borderId="1">
      <alignment wrapText="1"/>
    </xf>
    <xf numFmtId="49" fontId="4" fillId="0" borderId="1">
      <alignment wrapText="1"/>
    </xf>
    <xf numFmtId="49" fontId="4" fillId="0" borderId="1">
      <alignment wrapText="1"/>
    </xf>
    <xf numFmtId="49" fontId="4" fillId="0" borderId="1">
      <alignment wrapText="1"/>
    </xf>
    <xf numFmtId="49" fontId="4" fillId="0" borderId="2">
      <alignment wrapText="1"/>
    </xf>
    <xf numFmtId="49" fontId="4" fillId="3" borderId="1">
      <alignment wrapText="1"/>
    </xf>
    <xf numFmtId="49" fontId="4" fillId="3" borderId="1">
      <alignment wrapText="1"/>
    </xf>
    <xf numFmtId="49" fontId="4" fillId="3" borderId="1">
      <alignment wrapText="1"/>
    </xf>
    <xf numFmtId="49" fontId="4" fillId="3" borderId="1">
      <alignment wrapText="1"/>
    </xf>
    <xf numFmtId="49" fontId="4" fillId="3" borderId="1">
      <alignment wrapText="1"/>
    </xf>
    <xf numFmtId="49" fontId="4" fillId="3" borderId="2">
      <alignment wrapText="1"/>
    </xf>
    <xf numFmtId="49" fontId="4" fillId="0" borderId="1">
      <alignment wrapText="1"/>
    </xf>
    <xf numFmtId="49" fontId="4" fillId="0" borderId="1">
      <alignment wrapText="1"/>
    </xf>
    <xf numFmtId="49" fontId="4" fillId="0" borderId="1">
      <alignment wrapText="1"/>
    </xf>
    <xf numFmtId="49" fontId="4" fillId="0" borderId="1">
      <alignment wrapText="1"/>
    </xf>
    <xf numFmtId="49" fontId="4" fillId="0" borderId="1">
      <alignment wrapText="1"/>
    </xf>
    <xf numFmtId="49" fontId="4" fillId="0" borderId="2">
      <alignment wrapText="1"/>
    </xf>
    <xf numFmtId="49" fontId="4" fillId="3" borderId="1">
      <alignment wrapText="1"/>
    </xf>
    <xf numFmtId="49" fontId="4" fillId="3" borderId="1">
      <alignment wrapText="1"/>
    </xf>
    <xf numFmtId="49" fontId="4" fillId="3" borderId="1">
      <alignment wrapText="1"/>
    </xf>
    <xf numFmtId="49" fontId="4" fillId="3" borderId="1">
      <alignment wrapText="1"/>
    </xf>
    <xf numFmtId="49" fontId="4" fillId="3" borderId="1">
      <alignment wrapText="1"/>
    </xf>
    <xf numFmtId="49" fontId="4" fillId="3" borderId="2">
      <alignment wrapText="1"/>
    </xf>
    <xf numFmtId="49" fontId="4" fillId="0" borderId="1">
      <alignment wrapText="1"/>
    </xf>
    <xf numFmtId="49" fontId="4" fillId="0" borderId="1">
      <alignment wrapText="1"/>
    </xf>
    <xf numFmtId="49" fontId="4" fillId="0" borderId="1">
      <alignment wrapText="1"/>
    </xf>
    <xf numFmtId="49" fontId="4" fillId="0" borderId="1">
      <alignment wrapText="1"/>
    </xf>
    <xf numFmtId="49" fontId="4" fillId="0" borderId="1">
      <alignment wrapText="1"/>
    </xf>
    <xf numFmtId="49" fontId="4" fillId="0" borderId="2">
      <alignment wrapText="1"/>
    </xf>
    <xf numFmtId="0" fontId="5" fillId="0" borderId="0" applyNumberFormat="0" applyFill="0" applyBorder="0" applyAlignment="0" applyProtection="0"/>
  </cellStyleXfs>
  <cellXfs count="201">
    <xf numFmtId="0" fontId="0" fillId="0" borderId="0" xfId="0"/>
    <xf numFmtId="0" fontId="1" fillId="0" borderId="0" xfId="0" applyFont="1"/>
    <xf numFmtId="0" fontId="2" fillId="0" borderId="0" xfId="0" applyFont="1"/>
    <xf numFmtId="49" fontId="3" fillId="2" borderId="1" xfId="1">
      <alignment wrapText="1"/>
    </xf>
    <xf numFmtId="49" fontId="3" fillId="2" borderId="1" xfId="2">
      <alignment wrapText="1"/>
    </xf>
    <xf numFmtId="49" fontId="3" fillId="2" borderId="1" xfId="3">
      <alignment wrapText="1"/>
    </xf>
    <xf numFmtId="49" fontId="3" fillId="2" borderId="1" xfId="4">
      <alignment wrapText="1"/>
    </xf>
    <xf numFmtId="49" fontId="3" fillId="2" borderId="1" xfId="5">
      <alignment wrapText="1"/>
    </xf>
    <xf numFmtId="49" fontId="3" fillId="2" borderId="2" xfId="6">
      <alignment wrapText="1"/>
    </xf>
    <xf numFmtId="49" fontId="4" fillId="3" borderId="1" xfId="7">
      <alignment wrapText="1"/>
    </xf>
    <xf numFmtId="49" fontId="4" fillId="3" borderId="1" xfId="8">
      <alignment wrapText="1"/>
    </xf>
    <xf numFmtId="49" fontId="4" fillId="3" borderId="1" xfId="9">
      <alignment wrapText="1"/>
    </xf>
    <xf numFmtId="49" fontId="4" fillId="3" borderId="1" xfId="10">
      <alignment wrapText="1"/>
    </xf>
    <xf numFmtId="49" fontId="4" fillId="3" borderId="1" xfId="11">
      <alignment wrapText="1"/>
    </xf>
    <xf numFmtId="49" fontId="4" fillId="3" borderId="2" xfId="12">
      <alignment wrapText="1"/>
    </xf>
    <xf numFmtId="49" fontId="4" fillId="0" borderId="1" xfId="13">
      <alignment wrapText="1"/>
    </xf>
    <xf numFmtId="49" fontId="4" fillId="0" borderId="1" xfId="14">
      <alignment wrapText="1"/>
    </xf>
    <xf numFmtId="49" fontId="4" fillId="0" borderId="1" xfId="15">
      <alignment wrapText="1"/>
    </xf>
    <xf numFmtId="49" fontId="4" fillId="0" borderId="1" xfId="16">
      <alignment wrapText="1"/>
    </xf>
    <xf numFmtId="49" fontId="4" fillId="0" borderId="1" xfId="17">
      <alignment wrapText="1"/>
    </xf>
    <xf numFmtId="49" fontId="4" fillId="0" borderId="2" xfId="18">
      <alignment wrapText="1"/>
    </xf>
    <xf numFmtId="49" fontId="4" fillId="3" borderId="1" xfId="19">
      <alignment wrapText="1"/>
    </xf>
    <xf numFmtId="49" fontId="4" fillId="3" borderId="1" xfId="20">
      <alignment wrapText="1"/>
    </xf>
    <xf numFmtId="49" fontId="4" fillId="3" borderId="1" xfId="21">
      <alignment wrapText="1"/>
    </xf>
    <xf numFmtId="49" fontId="4" fillId="3" borderId="1" xfId="22">
      <alignment wrapText="1"/>
    </xf>
    <xf numFmtId="49" fontId="4" fillId="3" borderId="1" xfId="23">
      <alignment wrapText="1"/>
    </xf>
    <xf numFmtId="49" fontId="4" fillId="3" borderId="2" xfId="24">
      <alignment wrapText="1"/>
    </xf>
    <xf numFmtId="49" fontId="4" fillId="0" borderId="1" xfId="25">
      <alignment wrapText="1"/>
    </xf>
    <xf numFmtId="49" fontId="4" fillId="0" borderId="1" xfId="26">
      <alignment wrapText="1"/>
    </xf>
    <xf numFmtId="49" fontId="4" fillId="0" borderId="1" xfId="27">
      <alignment wrapText="1"/>
    </xf>
    <xf numFmtId="49" fontId="4" fillId="0" borderId="1" xfId="28">
      <alignment wrapText="1"/>
    </xf>
    <xf numFmtId="49" fontId="4" fillId="0" borderId="1" xfId="29">
      <alignment wrapText="1"/>
    </xf>
    <xf numFmtId="49" fontId="4" fillId="0" borderId="2" xfId="30">
      <alignment wrapText="1"/>
    </xf>
    <xf numFmtId="49" fontId="4" fillId="3" borderId="1" xfId="31">
      <alignment wrapText="1"/>
    </xf>
    <xf numFmtId="49" fontId="4" fillId="3" borderId="1" xfId="32">
      <alignment wrapText="1"/>
    </xf>
    <xf numFmtId="49" fontId="4" fillId="3" borderId="1" xfId="33">
      <alignment wrapText="1"/>
    </xf>
    <xf numFmtId="49" fontId="4" fillId="3" borderId="1" xfId="34">
      <alignment wrapText="1"/>
    </xf>
    <xf numFmtId="49" fontId="4" fillId="3" borderId="1" xfId="35">
      <alignment wrapText="1"/>
    </xf>
    <xf numFmtId="49" fontId="4" fillId="3" borderId="2" xfId="36">
      <alignment wrapText="1"/>
    </xf>
    <xf numFmtId="49" fontId="4" fillId="0" borderId="1" xfId="37">
      <alignment wrapText="1"/>
    </xf>
    <xf numFmtId="49" fontId="4" fillId="0" borderId="1" xfId="38">
      <alignment wrapText="1"/>
    </xf>
    <xf numFmtId="49" fontId="4" fillId="0" borderId="1" xfId="39">
      <alignment wrapText="1"/>
    </xf>
    <xf numFmtId="49" fontId="4" fillId="0" borderId="1" xfId="40">
      <alignment wrapText="1"/>
    </xf>
    <xf numFmtId="49" fontId="4" fillId="0" borderId="1" xfId="41">
      <alignment wrapText="1"/>
    </xf>
    <xf numFmtId="49" fontId="4" fillId="0" borderId="2" xfId="42">
      <alignment wrapText="1"/>
    </xf>
    <xf numFmtId="49" fontId="4" fillId="3" borderId="1" xfId="43">
      <alignment wrapText="1"/>
    </xf>
    <xf numFmtId="49" fontId="4" fillId="3" borderId="1" xfId="44">
      <alignment wrapText="1"/>
    </xf>
    <xf numFmtId="49" fontId="4" fillId="3" borderId="1" xfId="45">
      <alignment wrapText="1"/>
    </xf>
    <xf numFmtId="49" fontId="4" fillId="3" borderId="1" xfId="46">
      <alignment wrapText="1"/>
    </xf>
    <xf numFmtId="49" fontId="4" fillId="3" borderId="1" xfId="47">
      <alignment wrapText="1"/>
    </xf>
    <xf numFmtId="49" fontId="4" fillId="3" borderId="2" xfId="48">
      <alignment wrapText="1"/>
    </xf>
    <xf numFmtId="49" fontId="4" fillId="0" borderId="1" xfId="49">
      <alignment wrapText="1"/>
    </xf>
    <xf numFmtId="49" fontId="4" fillId="0" borderId="1" xfId="50">
      <alignment wrapText="1"/>
    </xf>
    <xf numFmtId="49" fontId="4" fillId="0" borderId="1" xfId="51">
      <alignment wrapText="1"/>
    </xf>
    <xf numFmtId="49" fontId="4" fillId="0" borderId="1" xfId="52">
      <alignment wrapText="1"/>
    </xf>
    <xf numFmtId="49" fontId="4" fillId="0" borderId="1" xfId="53">
      <alignment wrapText="1"/>
    </xf>
    <xf numFmtId="49" fontId="4" fillId="0" borderId="2" xfId="54">
      <alignment wrapText="1"/>
    </xf>
    <xf numFmtId="49" fontId="4" fillId="3" borderId="1" xfId="55">
      <alignment wrapText="1"/>
    </xf>
    <xf numFmtId="49" fontId="4" fillId="3" borderId="1" xfId="56">
      <alignment wrapText="1"/>
    </xf>
    <xf numFmtId="49" fontId="4" fillId="3" borderId="1" xfId="57">
      <alignment wrapText="1"/>
    </xf>
    <xf numFmtId="49" fontId="4" fillId="3" borderId="1" xfId="58">
      <alignment wrapText="1"/>
    </xf>
    <xf numFmtId="49" fontId="4" fillId="3" borderId="1" xfId="59">
      <alignment wrapText="1"/>
    </xf>
    <xf numFmtId="49" fontId="4" fillId="0" borderId="1" xfId="61">
      <alignment wrapText="1"/>
    </xf>
    <xf numFmtId="49" fontId="4" fillId="0" borderId="1" xfId="62">
      <alignment wrapText="1"/>
    </xf>
    <xf numFmtId="49" fontId="4" fillId="0" borderId="1" xfId="63">
      <alignment wrapText="1"/>
    </xf>
    <xf numFmtId="49" fontId="4" fillId="0" borderId="1" xfId="64">
      <alignment wrapText="1"/>
    </xf>
    <xf numFmtId="49" fontId="4" fillId="0" borderId="1" xfId="65">
      <alignment wrapText="1"/>
    </xf>
    <xf numFmtId="49" fontId="4" fillId="0" borderId="2" xfId="66">
      <alignment wrapText="1"/>
    </xf>
    <xf numFmtId="49" fontId="4" fillId="3" borderId="1" xfId="67">
      <alignment wrapText="1"/>
    </xf>
    <xf numFmtId="49" fontId="4" fillId="3" borderId="1" xfId="68">
      <alignment wrapText="1"/>
    </xf>
    <xf numFmtId="49" fontId="4" fillId="3" borderId="1" xfId="69">
      <alignment wrapText="1"/>
    </xf>
    <xf numFmtId="49" fontId="4" fillId="3" borderId="1" xfId="70">
      <alignment wrapText="1"/>
    </xf>
    <xf numFmtId="49" fontId="4" fillId="3" borderId="1" xfId="71">
      <alignment wrapText="1"/>
    </xf>
    <xf numFmtId="49" fontId="4" fillId="3" borderId="2" xfId="72">
      <alignment wrapText="1"/>
    </xf>
    <xf numFmtId="49" fontId="4" fillId="0" borderId="1" xfId="73">
      <alignment wrapText="1"/>
    </xf>
    <xf numFmtId="49" fontId="4" fillId="0" borderId="1" xfId="74">
      <alignment wrapText="1"/>
    </xf>
    <xf numFmtId="49" fontId="4" fillId="0" borderId="1" xfId="75">
      <alignment wrapText="1"/>
    </xf>
    <xf numFmtId="49" fontId="4" fillId="0" borderId="1" xfId="76">
      <alignment wrapText="1"/>
    </xf>
    <xf numFmtId="49" fontId="4" fillId="0" borderId="1" xfId="77">
      <alignment wrapText="1"/>
    </xf>
    <xf numFmtId="49" fontId="4" fillId="0" borderId="2" xfId="78">
      <alignment wrapText="1"/>
    </xf>
    <xf numFmtId="49" fontId="4" fillId="3" borderId="1" xfId="79">
      <alignment wrapText="1"/>
    </xf>
    <xf numFmtId="49" fontId="4" fillId="3" borderId="1" xfId="80">
      <alignment wrapText="1"/>
    </xf>
    <xf numFmtId="49" fontId="4" fillId="3" borderId="1" xfId="81">
      <alignment wrapText="1"/>
    </xf>
    <xf numFmtId="49" fontId="4" fillId="3" borderId="1" xfId="82">
      <alignment wrapText="1"/>
    </xf>
    <xf numFmtId="49" fontId="4" fillId="3" borderId="1" xfId="83">
      <alignment wrapText="1"/>
    </xf>
    <xf numFmtId="49" fontId="4" fillId="3" borderId="2" xfId="84">
      <alignment wrapText="1"/>
    </xf>
    <xf numFmtId="49" fontId="4" fillId="0" borderId="1" xfId="85">
      <alignment wrapText="1"/>
    </xf>
    <xf numFmtId="49" fontId="4" fillId="0" borderId="1" xfId="86">
      <alignment wrapText="1"/>
    </xf>
    <xf numFmtId="49" fontId="4" fillId="0" borderId="1" xfId="87">
      <alignment wrapText="1"/>
    </xf>
    <xf numFmtId="49" fontId="4" fillId="0" borderId="1" xfId="88">
      <alignment wrapText="1"/>
    </xf>
    <xf numFmtId="49" fontId="4" fillId="0" borderId="1" xfId="89">
      <alignment wrapText="1"/>
    </xf>
    <xf numFmtId="49" fontId="4" fillId="0" borderId="2" xfId="90">
      <alignment wrapText="1"/>
    </xf>
    <xf numFmtId="49" fontId="4" fillId="3" borderId="1" xfId="91">
      <alignment wrapText="1"/>
    </xf>
    <xf numFmtId="49" fontId="4" fillId="3" borderId="1" xfId="92">
      <alignment wrapText="1"/>
    </xf>
    <xf numFmtId="49" fontId="4" fillId="3" borderId="1" xfId="93">
      <alignment wrapText="1"/>
    </xf>
    <xf numFmtId="49" fontId="4" fillId="3" borderId="1" xfId="94">
      <alignment wrapText="1"/>
    </xf>
    <xf numFmtId="49" fontId="4" fillId="3" borderId="1" xfId="95">
      <alignment wrapText="1"/>
    </xf>
    <xf numFmtId="49" fontId="4" fillId="3" borderId="2" xfId="96">
      <alignment wrapText="1"/>
    </xf>
    <xf numFmtId="49" fontId="4" fillId="0" borderId="1" xfId="97">
      <alignment wrapText="1"/>
    </xf>
    <xf numFmtId="49" fontId="4" fillId="0" borderId="1" xfId="98">
      <alignment wrapText="1"/>
    </xf>
    <xf numFmtId="49" fontId="4" fillId="0" borderId="1" xfId="99">
      <alignment wrapText="1"/>
    </xf>
    <xf numFmtId="49" fontId="4" fillId="0" borderId="1" xfId="100">
      <alignment wrapText="1"/>
    </xf>
    <xf numFmtId="49" fontId="4" fillId="0" borderId="1" xfId="101">
      <alignment wrapText="1"/>
    </xf>
    <xf numFmtId="49" fontId="4" fillId="0" borderId="2" xfId="102">
      <alignment wrapText="1"/>
    </xf>
    <xf numFmtId="49" fontId="4" fillId="3" borderId="1" xfId="103">
      <alignment wrapText="1"/>
    </xf>
    <xf numFmtId="49" fontId="4" fillId="3" borderId="1" xfId="104">
      <alignment wrapText="1"/>
    </xf>
    <xf numFmtId="49" fontId="4" fillId="3" borderId="1" xfId="105">
      <alignment wrapText="1"/>
    </xf>
    <xf numFmtId="49" fontId="4" fillId="3" borderId="1" xfId="106">
      <alignment wrapText="1"/>
    </xf>
    <xf numFmtId="49" fontId="4" fillId="3" borderId="1" xfId="107">
      <alignment wrapText="1"/>
    </xf>
    <xf numFmtId="49" fontId="4" fillId="3" borderId="2" xfId="108">
      <alignment wrapText="1"/>
    </xf>
    <xf numFmtId="49" fontId="4" fillId="0" borderId="1" xfId="109">
      <alignment wrapText="1"/>
    </xf>
    <xf numFmtId="49" fontId="4" fillId="0" borderId="1" xfId="110">
      <alignment wrapText="1"/>
    </xf>
    <xf numFmtId="49" fontId="4" fillId="0" borderId="1" xfId="111">
      <alignment wrapText="1"/>
    </xf>
    <xf numFmtId="49" fontId="4" fillId="0" borderId="1" xfId="112">
      <alignment wrapText="1"/>
    </xf>
    <xf numFmtId="49" fontId="4" fillId="0" borderId="1" xfId="113">
      <alignment wrapText="1"/>
    </xf>
    <xf numFmtId="49" fontId="4" fillId="0" borderId="2" xfId="114">
      <alignment wrapText="1"/>
    </xf>
    <xf numFmtId="49" fontId="4" fillId="3" borderId="1" xfId="115">
      <alignment wrapText="1"/>
    </xf>
    <xf numFmtId="49" fontId="4" fillId="3" borderId="1" xfId="116">
      <alignment wrapText="1"/>
    </xf>
    <xf numFmtId="49" fontId="4" fillId="3" borderId="1" xfId="117">
      <alignment wrapText="1"/>
    </xf>
    <xf numFmtId="49" fontId="4" fillId="3" borderId="1" xfId="118">
      <alignment wrapText="1"/>
    </xf>
    <xf numFmtId="49" fontId="4" fillId="3" borderId="1" xfId="119">
      <alignment wrapText="1"/>
    </xf>
    <xf numFmtId="49" fontId="4" fillId="3" borderId="2" xfId="120">
      <alignment wrapText="1"/>
    </xf>
    <xf numFmtId="49" fontId="4" fillId="0" borderId="1" xfId="121">
      <alignment wrapText="1"/>
    </xf>
    <xf numFmtId="49" fontId="4" fillId="0" borderId="1" xfId="122">
      <alignment wrapText="1"/>
    </xf>
    <xf numFmtId="49" fontId="4" fillId="0" borderId="1" xfId="123">
      <alignment wrapText="1"/>
    </xf>
    <xf numFmtId="49" fontId="4" fillId="0" borderId="1" xfId="124">
      <alignment wrapText="1"/>
    </xf>
    <xf numFmtId="49" fontId="4" fillId="0" borderId="1" xfId="125">
      <alignment wrapText="1"/>
    </xf>
    <xf numFmtId="49" fontId="4" fillId="0" borderId="2" xfId="126">
      <alignment wrapText="1"/>
    </xf>
    <xf numFmtId="49" fontId="4" fillId="3" borderId="1" xfId="127">
      <alignment wrapText="1"/>
    </xf>
    <xf numFmtId="49" fontId="4" fillId="3" borderId="1" xfId="128">
      <alignment wrapText="1"/>
    </xf>
    <xf numFmtId="49" fontId="4" fillId="3" borderId="1" xfId="129">
      <alignment wrapText="1"/>
    </xf>
    <xf numFmtId="49" fontId="4" fillId="3" borderId="1" xfId="130">
      <alignment wrapText="1"/>
    </xf>
    <xf numFmtId="49" fontId="4" fillId="3" borderId="1" xfId="131">
      <alignment wrapText="1"/>
    </xf>
    <xf numFmtId="49" fontId="4" fillId="3" borderId="2" xfId="132">
      <alignment wrapText="1"/>
    </xf>
    <xf numFmtId="49" fontId="4" fillId="0" borderId="1" xfId="133">
      <alignment wrapText="1"/>
    </xf>
    <xf numFmtId="49" fontId="4" fillId="0" borderId="1" xfId="134">
      <alignment wrapText="1"/>
    </xf>
    <xf numFmtId="49" fontId="4" fillId="0" borderId="1" xfId="135">
      <alignment wrapText="1"/>
    </xf>
    <xf numFmtId="49" fontId="4" fillId="0" borderId="1" xfId="136">
      <alignment wrapText="1"/>
    </xf>
    <xf numFmtId="49" fontId="4" fillId="0" borderId="1" xfId="137">
      <alignment wrapText="1"/>
    </xf>
    <xf numFmtId="49" fontId="4" fillId="0" borderId="2" xfId="138">
      <alignment wrapText="1"/>
    </xf>
    <xf numFmtId="49" fontId="4" fillId="3" borderId="1" xfId="139">
      <alignment wrapText="1"/>
    </xf>
    <xf numFmtId="49" fontId="4" fillId="3" borderId="1" xfId="140">
      <alignment wrapText="1"/>
    </xf>
    <xf numFmtId="49" fontId="4" fillId="3" borderId="1" xfId="141">
      <alignment wrapText="1"/>
    </xf>
    <xf numFmtId="49" fontId="4" fillId="3" borderId="1" xfId="142">
      <alignment wrapText="1"/>
    </xf>
    <xf numFmtId="49" fontId="4" fillId="3" borderId="1" xfId="143">
      <alignment wrapText="1"/>
    </xf>
    <xf numFmtId="49" fontId="4" fillId="3" borderId="2" xfId="144">
      <alignment wrapText="1"/>
    </xf>
    <xf numFmtId="49" fontId="4" fillId="0" borderId="1" xfId="145">
      <alignment wrapText="1"/>
    </xf>
    <xf numFmtId="49" fontId="4" fillId="0" borderId="1" xfId="146">
      <alignment wrapText="1"/>
    </xf>
    <xf numFmtId="49" fontId="4" fillId="0" borderId="1" xfId="147">
      <alignment wrapText="1"/>
    </xf>
    <xf numFmtId="49" fontId="4" fillId="0" borderId="1" xfId="148">
      <alignment wrapText="1"/>
    </xf>
    <xf numFmtId="49" fontId="4" fillId="0" borderId="1" xfId="149">
      <alignment wrapText="1"/>
    </xf>
    <xf numFmtId="49" fontId="4" fillId="0" borderId="2" xfId="150">
      <alignment wrapText="1"/>
    </xf>
    <xf numFmtId="49" fontId="4" fillId="3" borderId="1" xfId="151">
      <alignment wrapText="1"/>
    </xf>
    <xf numFmtId="49" fontId="4" fillId="3" borderId="1" xfId="152">
      <alignment wrapText="1"/>
    </xf>
    <xf numFmtId="49" fontId="4" fillId="3" borderId="1" xfId="153">
      <alignment wrapText="1"/>
    </xf>
    <xf numFmtId="49" fontId="4" fillId="3" borderId="1" xfId="154">
      <alignment wrapText="1"/>
    </xf>
    <xf numFmtId="49" fontId="4" fillId="3" borderId="1" xfId="155">
      <alignment wrapText="1"/>
    </xf>
    <xf numFmtId="49" fontId="4" fillId="3" borderId="2" xfId="156">
      <alignment wrapText="1"/>
    </xf>
    <xf numFmtId="49" fontId="4" fillId="0" borderId="1" xfId="157">
      <alignment wrapText="1"/>
    </xf>
    <xf numFmtId="49" fontId="4" fillId="0" borderId="1" xfId="158">
      <alignment wrapText="1"/>
    </xf>
    <xf numFmtId="49" fontId="4" fillId="0" borderId="1" xfId="159">
      <alignment wrapText="1"/>
    </xf>
    <xf numFmtId="49" fontId="4" fillId="0" borderId="1" xfId="160">
      <alignment wrapText="1"/>
    </xf>
    <xf numFmtId="49" fontId="4" fillId="0" borderId="1" xfId="161">
      <alignment wrapText="1"/>
    </xf>
    <xf numFmtId="49" fontId="4" fillId="0" borderId="2" xfId="162">
      <alignment wrapText="1"/>
    </xf>
    <xf numFmtId="49" fontId="4" fillId="3" borderId="1" xfId="163">
      <alignment wrapText="1"/>
    </xf>
    <xf numFmtId="49" fontId="4" fillId="3" borderId="1" xfId="164">
      <alignment wrapText="1"/>
    </xf>
    <xf numFmtId="49" fontId="4" fillId="3" borderId="1" xfId="165">
      <alignment wrapText="1"/>
    </xf>
    <xf numFmtId="49" fontId="4" fillId="3" borderId="1" xfId="166">
      <alignment wrapText="1"/>
    </xf>
    <xf numFmtId="49" fontId="4" fillId="3" borderId="1" xfId="167">
      <alignment wrapText="1"/>
    </xf>
    <xf numFmtId="49" fontId="4" fillId="3" borderId="2" xfId="168">
      <alignment wrapText="1"/>
    </xf>
    <xf numFmtId="49" fontId="4" fillId="0" borderId="1" xfId="169">
      <alignment wrapText="1"/>
    </xf>
    <xf numFmtId="49" fontId="4" fillId="0" borderId="1" xfId="170">
      <alignment wrapText="1"/>
    </xf>
    <xf numFmtId="49" fontId="4" fillId="0" borderId="1" xfId="171">
      <alignment wrapText="1"/>
    </xf>
    <xf numFmtId="49" fontId="4" fillId="0" borderId="1" xfId="172">
      <alignment wrapText="1"/>
    </xf>
    <xf numFmtId="49" fontId="4" fillId="0" borderId="1" xfId="173">
      <alignment wrapText="1"/>
    </xf>
    <xf numFmtId="49" fontId="4" fillId="0" borderId="2" xfId="174">
      <alignment wrapText="1"/>
    </xf>
    <xf numFmtId="49" fontId="4" fillId="3" borderId="1" xfId="175">
      <alignment wrapText="1"/>
    </xf>
    <xf numFmtId="49" fontId="4" fillId="3" borderId="1" xfId="176">
      <alignment wrapText="1"/>
    </xf>
    <xf numFmtId="49" fontId="4" fillId="3" borderId="1" xfId="177">
      <alignment wrapText="1"/>
    </xf>
    <xf numFmtId="49" fontId="4" fillId="3" borderId="1" xfId="178">
      <alignment wrapText="1"/>
    </xf>
    <xf numFmtId="49" fontId="4" fillId="3" borderId="1" xfId="179">
      <alignment wrapText="1"/>
    </xf>
    <xf numFmtId="49" fontId="4" fillId="3" borderId="2" xfId="180">
      <alignment wrapText="1"/>
    </xf>
    <xf numFmtId="49" fontId="4" fillId="0" borderId="1" xfId="181">
      <alignment wrapText="1"/>
    </xf>
    <xf numFmtId="49" fontId="4" fillId="0" borderId="1" xfId="182">
      <alignment wrapText="1"/>
    </xf>
    <xf numFmtId="49" fontId="4" fillId="0" borderId="1" xfId="183">
      <alignment wrapText="1"/>
    </xf>
    <xf numFmtId="49" fontId="4" fillId="0" borderId="1" xfId="184">
      <alignment wrapText="1"/>
    </xf>
    <xf numFmtId="49" fontId="4" fillId="0" borderId="1" xfId="185">
      <alignment wrapText="1"/>
    </xf>
    <xf numFmtId="49" fontId="4" fillId="0" borderId="2" xfId="186">
      <alignment wrapText="1"/>
    </xf>
    <xf numFmtId="49" fontId="4" fillId="3" borderId="1" xfId="187">
      <alignment wrapText="1"/>
    </xf>
    <xf numFmtId="49" fontId="4" fillId="3" borderId="1" xfId="188">
      <alignment wrapText="1"/>
    </xf>
    <xf numFmtId="49" fontId="4" fillId="3" borderId="1" xfId="189">
      <alignment wrapText="1"/>
    </xf>
    <xf numFmtId="49" fontId="4" fillId="3" borderId="1" xfId="190">
      <alignment wrapText="1"/>
    </xf>
    <xf numFmtId="49" fontId="4" fillId="3" borderId="1" xfId="191">
      <alignment wrapText="1"/>
    </xf>
    <xf numFmtId="49" fontId="4" fillId="3" borderId="2" xfId="192">
      <alignment wrapText="1"/>
    </xf>
    <xf numFmtId="49" fontId="4" fillId="0" borderId="1" xfId="193">
      <alignment wrapText="1"/>
    </xf>
    <xf numFmtId="49" fontId="4" fillId="0" borderId="1" xfId="194">
      <alignment wrapText="1"/>
    </xf>
    <xf numFmtId="49" fontId="4" fillId="0" borderId="1" xfId="195">
      <alignment wrapText="1"/>
    </xf>
    <xf numFmtId="49" fontId="4" fillId="0" borderId="1" xfId="196">
      <alignment wrapText="1"/>
    </xf>
    <xf numFmtId="49" fontId="4" fillId="0" borderId="1" xfId="197">
      <alignment wrapText="1"/>
    </xf>
    <xf numFmtId="49" fontId="5" fillId="3" borderId="2" xfId="199" applyNumberFormat="1" applyFill="1" applyBorder="1" applyAlignment="1">
      <alignment wrapText="1"/>
    </xf>
    <xf numFmtId="49" fontId="5" fillId="0" borderId="2" xfId="199" applyNumberFormat="1" applyBorder="1" applyAlignment="1">
      <alignment wrapText="1"/>
    </xf>
  </cellXfs>
  <cellStyles count="200">
    <cellStyle name="01" xfId="1" xr:uid="{00000000-0005-0000-0000-000001000000}"/>
    <cellStyle name="02" xfId="2" xr:uid="{00000000-0005-0000-0000-000002000000}"/>
    <cellStyle name="03" xfId="3" xr:uid="{00000000-0005-0000-0000-000003000000}"/>
    <cellStyle name="04" xfId="4" xr:uid="{00000000-0005-0000-0000-000004000000}"/>
    <cellStyle name="05" xfId="5" xr:uid="{00000000-0005-0000-0000-000005000000}"/>
    <cellStyle name="06" xfId="6" xr:uid="{00000000-0005-0000-0000-000006000000}"/>
    <cellStyle name="101" xfId="61" xr:uid="{00000000-0005-0000-0000-00003D000000}"/>
    <cellStyle name="102" xfId="62" xr:uid="{00000000-0005-0000-0000-00003E000000}"/>
    <cellStyle name="103" xfId="63" xr:uid="{00000000-0005-0000-0000-00003F000000}"/>
    <cellStyle name="104" xfId="64" xr:uid="{00000000-0005-0000-0000-000040000000}"/>
    <cellStyle name="105" xfId="65" xr:uid="{00000000-0005-0000-0000-000041000000}"/>
    <cellStyle name="106" xfId="66" xr:uid="{00000000-0005-0000-0000-000042000000}"/>
    <cellStyle name="11" xfId="7" xr:uid="{00000000-0005-0000-0000-000007000000}"/>
    <cellStyle name="111" xfId="67" xr:uid="{00000000-0005-0000-0000-000043000000}"/>
    <cellStyle name="112" xfId="68" xr:uid="{00000000-0005-0000-0000-000044000000}"/>
    <cellStyle name="113" xfId="69" xr:uid="{00000000-0005-0000-0000-000045000000}"/>
    <cellStyle name="114" xfId="70" xr:uid="{00000000-0005-0000-0000-000046000000}"/>
    <cellStyle name="115" xfId="71" xr:uid="{00000000-0005-0000-0000-000047000000}"/>
    <cellStyle name="116" xfId="72" xr:uid="{00000000-0005-0000-0000-000048000000}"/>
    <cellStyle name="12" xfId="8" xr:uid="{00000000-0005-0000-0000-000008000000}"/>
    <cellStyle name="121" xfId="73" xr:uid="{00000000-0005-0000-0000-000049000000}"/>
    <cellStyle name="122" xfId="74" xr:uid="{00000000-0005-0000-0000-00004A000000}"/>
    <cellStyle name="123" xfId="75" xr:uid="{00000000-0005-0000-0000-00004B000000}"/>
    <cellStyle name="124" xfId="76" xr:uid="{00000000-0005-0000-0000-00004C000000}"/>
    <cellStyle name="125" xfId="77" xr:uid="{00000000-0005-0000-0000-00004D000000}"/>
    <cellStyle name="126" xfId="78" xr:uid="{00000000-0005-0000-0000-00004E000000}"/>
    <cellStyle name="13" xfId="9" xr:uid="{00000000-0005-0000-0000-000009000000}"/>
    <cellStyle name="131" xfId="79" xr:uid="{00000000-0005-0000-0000-00004F000000}"/>
    <cellStyle name="132" xfId="80" xr:uid="{00000000-0005-0000-0000-000050000000}"/>
    <cellStyle name="133" xfId="81" xr:uid="{00000000-0005-0000-0000-000051000000}"/>
    <cellStyle name="134" xfId="82" xr:uid="{00000000-0005-0000-0000-000052000000}"/>
    <cellStyle name="135" xfId="83" xr:uid="{00000000-0005-0000-0000-000053000000}"/>
    <cellStyle name="136" xfId="84" xr:uid="{00000000-0005-0000-0000-000054000000}"/>
    <cellStyle name="14" xfId="10" xr:uid="{00000000-0005-0000-0000-00000A000000}"/>
    <cellStyle name="141" xfId="85" xr:uid="{00000000-0005-0000-0000-000055000000}"/>
    <cellStyle name="142" xfId="86" xr:uid="{00000000-0005-0000-0000-000056000000}"/>
    <cellStyle name="143" xfId="87" xr:uid="{00000000-0005-0000-0000-000057000000}"/>
    <cellStyle name="144" xfId="88" xr:uid="{00000000-0005-0000-0000-000058000000}"/>
    <cellStyle name="145" xfId="89" xr:uid="{00000000-0005-0000-0000-000059000000}"/>
    <cellStyle name="146" xfId="90" xr:uid="{00000000-0005-0000-0000-00005A000000}"/>
    <cellStyle name="15" xfId="11" xr:uid="{00000000-0005-0000-0000-00000B000000}"/>
    <cellStyle name="151" xfId="91" xr:uid="{00000000-0005-0000-0000-00005B000000}"/>
    <cellStyle name="152" xfId="92" xr:uid="{00000000-0005-0000-0000-00005C000000}"/>
    <cellStyle name="153" xfId="93" xr:uid="{00000000-0005-0000-0000-00005D000000}"/>
    <cellStyle name="154" xfId="94" xr:uid="{00000000-0005-0000-0000-00005E000000}"/>
    <cellStyle name="155" xfId="95" xr:uid="{00000000-0005-0000-0000-00005F000000}"/>
    <cellStyle name="156" xfId="96" xr:uid="{00000000-0005-0000-0000-000060000000}"/>
    <cellStyle name="16" xfId="12" xr:uid="{00000000-0005-0000-0000-00000C000000}"/>
    <cellStyle name="161" xfId="97" xr:uid="{00000000-0005-0000-0000-000061000000}"/>
    <cellStyle name="162" xfId="98" xr:uid="{00000000-0005-0000-0000-000062000000}"/>
    <cellStyle name="163" xfId="99" xr:uid="{00000000-0005-0000-0000-000063000000}"/>
    <cellStyle name="164" xfId="100" xr:uid="{00000000-0005-0000-0000-000064000000}"/>
    <cellStyle name="165" xfId="101" xr:uid="{00000000-0005-0000-0000-000065000000}"/>
    <cellStyle name="166" xfId="102" xr:uid="{00000000-0005-0000-0000-000066000000}"/>
    <cellStyle name="171" xfId="103" xr:uid="{00000000-0005-0000-0000-000067000000}"/>
    <cellStyle name="172" xfId="104" xr:uid="{00000000-0005-0000-0000-000068000000}"/>
    <cellStyle name="173" xfId="105" xr:uid="{00000000-0005-0000-0000-000069000000}"/>
    <cellStyle name="174" xfId="106" xr:uid="{00000000-0005-0000-0000-00006A000000}"/>
    <cellStyle name="175" xfId="107" xr:uid="{00000000-0005-0000-0000-00006B000000}"/>
    <cellStyle name="176" xfId="108" xr:uid="{00000000-0005-0000-0000-00006C000000}"/>
    <cellStyle name="181" xfId="109" xr:uid="{00000000-0005-0000-0000-00006D000000}"/>
    <cellStyle name="182" xfId="110" xr:uid="{00000000-0005-0000-0000-00006E000000}"/>
    <cellStyle name="183" xfId="111" xr:uid="{00000000-0005-0000-0000-00006F000000}"/>
    <cellStyle name="184" xfId="112" xr:uid="{00000000-0005-0000-0000-000070000000}"/>
    <cellStyle name="185" xfId="113" xr:uid="{00000000-0005-0000-0000-000071000000}"/>
    <cellStyle name="186" xfId="114" xr:uid="{00000000-0005-0000-0000-000072000000}"/>
    <cellStyle name="191" xfId="115" xr:uid="{00000000-0005-0000-0000-000073000000}"/>
    <cellStyle name="192" xfId="116" xr:uid="{00000000-0005-0000-0000-000074000000}"/>
    <cellStyle name="193" xfId="117" xr:uid="{00000000-0005-0000-0000-000075000000}"/>
    <cellStyle name="194" xfId="118" xr:uid="{00000000-0005-0000-0000-000076000000}"/>
    <cellStyle name="195" xfId="119" xr:uid="{00000000-0005-0000-0000-000077000000}"/>
    <cellStyle name="196" xfId="120" xr:uid="{00000000-0005-0000-0000-000078000000}"/>
    <cellStyle name="201" xfId="121" xr:uid="{00000000-0005-0000-0000-000079000000}"/>
    <cellStyle name="202" xfId="122" xr:uid="{00000000-0005-0000-0000-00007A000000}"/>
    <cellStyle name="203" xfId="123" xr:uid="{00000000-0005-0000-0000-00007B000000}"/>
    <cellStyle name="204" xfId="124" xr:uid="{00000000-0005-0000-0000-00007C000000}"/>
    <cellStyle name="205" xfId="125" xr:uid="{00000000-0005-0000-0000-00007D000000}"/>
    <cellStyle name="206" xfId="126" xr:uid="{00000000-0005-0000-0000-00007E000000}"/>
    <cellStyle name="21" xfId="13" xr:uid="{00000000-0005-0000-0000-00000D000000}"/>
    <cellStyle name="211" xfId="127" xr:uid="{00000000-0005-0000-0000-00007F000000}"/>
    <cellStyle name="212" xfId="128" xr:uid="{00000000-0005-0000-0000-000080000000}"/>
    <cellStyle name="213" xfId="129" xr:uid="{00000000-0005-0000-0000-000081000000}"/>
    <cellStyle name="214" xfId="130" xr:uid="{00000000-0005-0000-0000-000082000000}"/>
    <cellStyle name="215" xfId="131" xr:uid="{00000000-0005-0000-0000-000083000000}"/>
    <cellStyle name="216" xfId="132" xr:uid="{00000000-0005-0000-0000-000084000000}"/>
    <cellStyle name="22" xfId="14" xr:uid="{00000000-0005-0000-0000-00000E000000}"/>
    <cellStyle name="221" xfId="133" xr:uid="{00000000-0005-0000-0000-000085000000}"/>
    <cellStyle name="222" xfId="134" xr:uid="{00000000-0005-0000-0000-000086000000}"/>
    <cellStyle name="223" xfId="135" xr:uid="{00000000-0005-0000-0000-000087000000}"/>
    <cellStyle name="224" xfId="136" xr:uid="{00000000-0005-0000-0000-000088000000}"/>
    <cellStyle name="225" xfId="137" xr:uid="{00000000-0005-0000-0000-000089000000}"/>
    <cellStyle name="226" xfId="138" xr:uid="{00000000-0005-0000-0000-00008A000000}"/>
    <cellStyle name="23" xfId="15" xr:uid="{00000000-0005-0000-0000-00000F000000}"/>
    <cellStyle name="231" xfId="139" xr:uid="{00000000-0005-0000-0000-00008B000000}"/>
    <cellStyle name="232" xfId="140" xr:uid="{00000000-0005-0000-0000-00008C000000}"/>
    <cellStyle name="233" xfId="141" xr:uid="{00000000-0005-0000-0000-00008D000000}"/>
    <cellStyle name="234" xfId="142" xr:uid="{00000000-0005-0000-0000-00008E000000}"/>
    <cellStyle name="235" xfId="143" xr:uid="{00000000-0005-0000-0000-00008F000000}"/>
    <cellStyle name="236" xfId="144" xr:uid="{00000000-0005-0000-0000-000090000000}"/>
    <cellStyle name="24" xfId="16" xr:uid="{00000000-0005-0000-0000-000010000000}"/>
    <cellStyle name="241" xfId="145" xr:uid="{00000000-0005-0000-0000-000091000000}"/>
    <cellStyle name="242" xfId="146" xr:uid="{00000000-0005-0000-0000-000092000000}"/>
    <cellStyle name="243" xfId="147" xr:uid="{00000000-0005-0000-0000-000093000000}"/>
    <cellStyle name="244" xfId="148" xr:uid="{00000000-0005-0000-0000-000094000000}"/>
    <cellStyle name="245" xfId="149" xr:uid="{00000000-0005-0000-0000-000095000000}"/>
    <cellStyle name="246" xfId="150" xr:uid="{00000000-0005-0000-0000-000096000000}"/>
    <cellStyle name="25" xfId="17" xr:uid="{00000000-0005-0000-0000-000011000000}"/>
    <cellStyle name="251" xfId="151" xr:uid="{00000000-0005-0000-0000-000097000000}"/>
    <cellStyle name="252" xfId="152" xr:uid="{00000000-0005-0000-0000-000098000000}"/>
    <cellStyle name="253" xfId="153" xr:uid="{00000000-0005-0000-0000-000099000000}"/>
    <cellStyle name="254" xfId="154" xr:uid="{00000000-0005-0000-0000-00009A000000}"/>
    <cellStyle name="255" xfId="155" xr:uid="{00000000-0005-0000-0000-00009B000000}"/>
    <cellStyle name="256" xfId="156" xr:uid="{00000000-0005-0000-0000-00009C000000}"/>
    <cellStyle name="26" xfId="18" xr:uid="{00000000-0005-0000-0000-000012000000}"/>
    <cellStyle name="261" xfId="157" xr:uid="{00000000-0005-0000-0000-00009D000000}"/>
    <cellStyle name="262" xfId="158" xr:uid="{00000000-0005-0000-0000-00009E000000}"/>
    <cellStyle name="263" xfId="159" xr:uid="{00000000-0005-0000-0000-00009F000000}"/>
    <cellStyle name="264" xfId="160" xr:uid="{00000000-0005-0000-0000-0000A0000000}"/>
    <cellStyle name="265" xfId="161" xr:uid="{00000000-0005-0000-0000-0000A1000000}"/>
    <cellStyle name="266" xfId="162" xr:uid="{00000000-0005-0000-0000-0000A2000000}"/>
    <cellStyle name="271" xfId="163" xr:uid="{00000000-0005-0000-0000-0000A3000000}"/>
    <cellStyle name="272" xfId="164" xr:uid="{00000000-0005-0000-0000-0000A4000000}"/>
    <cellStyle name="273" xfId="165" xr:uid="{00000000-0005-0000-0000-0000A5000000}"/>
    <cellStyle name="274" xfId="166" xr:uid="{00000000-0005-0000-0000-0000A6000000}"/>
    <cellStyle name="275" xfId="167" xr:uid="{00000000-0005-0000-0000-0000A7000000}"/>
    <cellStyle name="276" xfId="168" xr:uid="{00000000-0005-0000-0000-0000A8000000}"/>
    <cellStyle name="281" xfId="169" xr:uid="{00000000-0005-0000-0000-0000A9000000}"/>
    <cellStyle name="282" xfId="170" xr:uid="{00000000-0005-0000-0000-0000AA000000}"/>
    <cellStyle name="283" xfId="171" xr:uid="{00000000-0005-0000-0000-0000AB000000}"/>
    <cellStyle name="284" xfId="172" xr:uid="{00000000-0005-0000-0000-0000AC000000}"/>
    <cellStyle name="285" xfId="173" xr:uid="{00000000-0005-0000-0000-0000AD000000}"/>
    <cellStyle name="286" xfId="174" xr:uid="{00000000-0005-0000-0000-0000AE000000}"/>
    <cellStyle name="291" xfId="175" xr:uid="{00000000-0005-0000-0000-0000AF000000}"/>
    <cellStyle name="292" xfId="176" xr:uid="{00000000-0005-0000-0000-0000B0000000}"/>
    <cellStyle name="293" xfId="177" xr:uid="{00000000-0005-0000-0000-0000B1000000}"/>
    <cellStyle name="294" xfId="178" xr:uid="{00000000-0005-0000-0000-0000B2000000}"/>
    <cellStyle name="295" xfId="179" xr:uid="{00000000-0005-0000-0000-0000B3000000}"/>
    <cellStyle name="296" xfId="180" xr:uid="{00000000-0005-0000-0000-0000B4000000}"/>
    <cellStyle name="301" xfId="181" xr:uid="{00000000-0005-0000-0000-0000B5000000}"/>
    <cellStyle name="302" xfId="182" xr:uid="{00000000-0005-0000-0000-0000B6000000}"/>
    <cellStyle name="303" xfId="183" xr:uid="{00000000-0005-0000-0000-0000B7000000}"/>
    <cellStyle name="304" xfId="184" xr:uid="{00000000-0005-0000-0000-0000B8000000}"/>
    <cellStyle name="305" xfId="185" xr:uid="{00000000-0005-0000-0000-0000B9000000}"/>
    <cellStyle name="306" xfId="186" xr:uid="{00000000-0005-0000-0000-0000BA000000}"/>
    <cellStyle name="31" xfId="19" xr:uid="{00000000-0005-0000-0000-000013000000}"/>
    <cellStyle name="311" xfId="187" xr:uid="{00000000-0005-0000-0000-0000BB000000}"/>
    <cellStyle name="312" xfId="188" xr:uid="{00000000-0005-0000-0000-0000BC000000}"/>
    <cellStyle name="313" xfId="189" xr:uid="{00000000-0005-0000-0000-0000BD000000}"/>
    <cellStyle name="314" xfId="190" xr:uid="{00000000-0005-0000-0000-0000BE000000}"/>
    <cellStyle name="315" xfId="191" xr:uid="{00000000-0005-0000-0000-0000BF000000}"/>
    <cellStyle name="316" xfId="192" xr:uid="{00000000-0005-0000-0000-0000C0000000}"/>
    <cellStyle name="32" xfId="20" xr:uid="{00000000-0005-0000-0000-000014000000}"/>
    <cellStyle name="321" xfId="193" xr:uid="{00000000-0005-0000-0000-0000C1000000}"/>
    <cellStyle name="322" xfId="194" xr:uid="{00000000-0005-0000-0000-0000C2000000}"/>
    <cellStyle name="323" xfId="195" xr:uid="{00000000-0005-0000-0000-0000C3000000}"/>
    <cellStyle name="324" xfId="196" xr:uid="{00000000-0005-0000-0000-0000C4000000}"/>
    <cellStyle name="325" xfId="197" xr:uid="{00000000-0005-0000-0000-0000C5000000}"/>
    <cellStyle name="326" xfId="198" xr:uid="{00000000-0005-0000-0000-0000C6000000}"/>
    <cellStyle name="33" xfId="21" xr:uid="{00000000-0005-0000-0000-000015000000}"/>
    <cellStyle name="34" xfId="22" xr:uid="{00000000-0005-0000-0000-000016000000}"/>
    <cellStyle name="35" xfId="23" xr:uid="{00000000-0005-0000-0000-000017000000}"/>
    <cellStyle name="36" xfId="24" xr:uid="{00000000-0005-0000-0000-000018000000}"/>
    <cellStyle name="41" xfId="25" xr:uid="{00000000-0005-0000-0000-000019000000}"/>
    <cellStyle name="42" xfId="26" xr:uid="{00000000-0005-0000-0000-00001A000000}"/>
    <cellStyle name="43" xfId="27" xr:uid="{00000000-0005-0000-0000-00001B000000}"/>
    <cellStyle name="44" xfId="28" xr:uid="{00000000-0005-0000-0000-00001C000000}"/>
    <cellStyle name="45" xfId="29" xr:uid="{00000000-0005-0000-0000-00001D000000}"/>
    <cellStyle name="46" xfId="30" xr:uid="{00000000-0005-0000-0000-00001E000000}"/>
    <cellStyle name="51" xfId="31" xr:uid="{00000000-0005-0000-0000-00001F000000}"/>
    <cellStyle name="52" xfId="32" xr:uid="{00000000-0005-0000-0000-000020000000}"/>
    <cellStyle name="53" xfId="33" xr:uid="{00000000-0005-0000-0000-000021000000}"/>
    <cellStyle name="54" xfId="34" xr:uid="{00000000-0005-0000-0000-000022000000}"/>
    <cellStyle name="55" xfId="35" xr:uid="{00000000-0005-0000-0000-000023000000}"/>
    <cellStyle name="56" xfId="36" xr:uid="{00000000-0005-0000-0000-000024000000}"/>
    <cellStyle name="61" xfId="37" xr:uid="{00000000-0005-0000-0000-000025000000}"/>
    <cellStyle name="62" xfId="38" xr:uid="{00000000-0005-0000-0000-000026000000}"/>
    <cellStyle name="63" xfId="39" xr:uid="{00000000-0005-0000-0000-000027000000}"/>
    <cellStyle name="64" xfId="40" xr:uid="{00000000-0005-0000-0000-000028000000}"/>
    <cellStyle name="65" xfId="41" xr:uid="{00000000-0005-0000-0000-000029000000}"/>
    <cellStyle name="66" xfId="42" xr:uid="{00000000-0005-0000-0000-00002A000000}"/>
    <cellStyle name="71" xfId="43" xr:uid="{00000000-0005-0000-0000-00002B000000}"/>
    <cellStyle name="72" xfId="44" xr:uid="{00000000-0005-0000-0000-00002C000000}"/>
    <cellStyle name="73" xfId="45" xr:uid="{00000000-0005-0000-0000-00002D000000}"/>
    <cellStyle name="74" xfId="46" xr:uid="{00000000-0005-0000-0000-00002E000000}"/>
    <cellStyle name="75" xfId="47" xr:uid="{00000000-0005-0000-0000-00002F000000}"/>
    <cellStyle name="76" xfId="48" xr:uid="{00000000-0005-0000-0000-000030000000}"/>
    <cellStyle name="81" xfId="49" xr:uid="{00000000-0005-0000-0000-000031000000}"/>
    <cellStyle name="82" xfId="50" xr:uid="{00000000-0005-0000-0000-000032000000}"/>
    <cellStyle name="83" xfId="51" xr:uid="{00000000-0005-0000-0000-000033000000}"/>
    <cellStyle name="84" xfId="52" xr:uid="{00000000-0005-0000-0000-000034000000}"/>
    <cellStyle name="85" xfId="53" xr:uid="{00000000-0005-0000-0000-000035000000}"/>
    <cellStyle name="86" xfId="54" xr:uid="{00000000-0005-0000-0000-000036000000}"/>
    <cellStyle name="91" xfId="55" xr:uid="{00000000-0005-0000-0000-000037000000}"/>
    <cellStyle name="92" xfId="56" xr:uid="{00000000-0005-0000-0000-000038000000}"/>
    <cellStyle name="93" xfId="57" xr:uid="{00000000-0005-0000-0000-000039000000}"/>
    <cellStyle name="94" xfId="58" xr:uid="{00000000-0005-0000-0000-00003A000000}"/>
    <cellStyle name="95" xfId="59" xr:uid="{00000000-0005-0000-0000-00003B000000}"/>
    <cellStyle name="96" xfId="60" xr:uid="{00000000-0005-0000-0000-00003C000000}"/>
    <cellStyle name="Hyperlink" xfId="199"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nathalie.dierichs@rivm.nl" TargetMode="External"/><Relationship Id="rId1" Type="http://schemas.openxmlformats.org/officeDocument/2006/relationships/hyperlink" Target="mailto:ellen.hessel@rivm.n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1"/>
  <sheetViews>
    <sheetView tabSelected="1" topLeftCell="A14" workbookViewId="0">
      <selection activeCell="F15" sqref="F15"/>
    </sheetView>
  </sheetViews>
  <sheetFormatPr defaultRowHeight="14.4" x14ac:dyDescent="0.3"/>
  <cols>
    <col min="1" max="1" width="33" customWidth="1"/>
    <col min="2" max="2" width="21" customWidth="1"/>
    <col min="3" max="3" width="22" customWidth="1"/>
    <col min="4" max="4" width="35" customWidth="1"/>
    <col min="5" max="5" width="50" customWidth="1"/>
    <col min="6" max="6" width="37" customWidth="1"/>
  </cols>
  <sheetData>
    <row r="1" spans="1:6" ht="23.4" x14ac:dyDescent="0.45">
      <c r="A1" s="1" t="s">
        <v>0</v>
      </c>
    </row>
    <row r="2" spans="1:6" x14ac:dyDescent="0.3">
      <c r="A2" t="s">
        <v>1</v>
      </c>
    </row>
    <row r="3" spans="1:6" x14ac:dyDescent="0.3">
      <c r="A3" t="s">
        <v>2</v>
      </c>
    </row>
    <row r="4" spans="1:6" x14ac:dyDescent="0.3">
      <c r="A4" t="s">
        <v>3</v>
      </c>
    </row>
    <row r="5" spans="1:6" x14ac:dyDescent="0.3">
      <c r="A5" t="s">
        <v>4</v>
      </c>
    </row>
    <row r="7" spans="1:6" x14ac:dyDescent="0.3">
      <c r="A7" s="2" t="s">
        <v>5</v>
      </c>
      <c r="B7" s="2" t="s">
        <v>6</v>
      </c>
      <c r="C7" s="2" t="s">
        <v>7</v>
      </c>
    </row>
    <row r="9" spans="1:6" x14ac:dyDescent="0.3">
      <c r="A9" s="3" t="s">
        <v>8</v>
      </c>
      <c r="B9" s="4" t="s">
        <v>9</v>
      </c>
      <c r="C9" s="5" t="s">
        <v>10</v>
      </c>
      <c r="D9" s="6" t="s">
        <v>11</v>
      </c>
      <c r="E9" s="7" t="s">
        <v>12</v>
      </c>
      <c r="F9" s="8" t="s">
        <v>13</v>
      </c>
    </row>
    <row r="10" spans="1:6" ht="72" x14ac:dyDescent="0.3">
      <c r="A10" s="9" t="s">
        <v>14</v>
      </c>
      <c r="B10" s="10" t="s">
        <v>15</v>
      </c>
      <c r="C10" s="11" t="s">
        <v>16</v>
      </c>
      <c r="D10" s="12" t="s">
        <v>17</v>
      </c>
      <c r="E10" s="13" t="s">
        <v>18</v>
      </c>
      <c r="F10" s="14" t="s">
        <v>279</v>
      </c>
    </row>
    <row r="11" spans="1:6" ht="57.6" x14ac:dyDescent="0.3">
      <c r="A11" s="15" t="s">
        <v>19</v>
      </c>
      <c r="B11" s="16" t="s">
        <v>15</v>
      </c>
      <c r="C11" s="17" t="s">
        <v>16</v>
      </c>
      <c r="D11" s="18" t="s">
        <v>20</v>
      </c>
      <c r="E11" s="19" t="s">
        <v>21</v>
      </c>
      <c r="F11" s="20"/>
    </row>
    <row r="12" spans="1:6" ht="57.6" x14ac:dyDescent="0.3">
      <c r="A12" s="21" t="s">
        <v>22</v>
      </c>
      <c r="B12" s="22" t="s">
        <v>23</v>
      </c>
      <c r="C12" s="23" t="s">
        <v>24</v>
      </c>
      <c r="D12" s="24" t="s">
        <v>25</v>
      </c>
      <c r="E12" s="25" t="s">
        <v>26</v>
      </c>
      <c r="F12" s="26" t="s">
        <v>127</v>
      </c>
    </row>
    <row r="13" spans="1:6" ht="158.4" x14ac:dyDescent="0.3">
      <c r="A13" s="27" t="s">
        <v>27</v>
      </c>
      <c r="B13" s="28" t="s">
        <v>15</v>
      </c>
      <c r="C13" s="29" t="s">
        <v>28</v>
      </c>
      <c r="D13" s="30" t="s">
        <v>29</v>
      </c>
      <c r="E13" s="31" t="s">
        <v>30</v>
      </c>
      <c r="F13" s="32" t="s">
        <v>277</v>
      </c>
    </row>
    <row r="14" spans="1:6" ht="144" x14ac:dyDescent="0.3">
      <c r="A14" s="33" t="s">
        <v>31</v>
      </c>
      <c r="B14" s="34" t="s">
        <v>15</v>
      </c>
      <c r="C14" s="35" t="s">
        <v>28</v>
      </c>
      <c r="D14" s="36" t="s">
        <v>32</v>
      </c>
      <c r="E14" s="37" t="s">
        <v>33</v>
      </c>
      <c r="F14" s="38" t="s">
        <v>280</v>
      </c>
    </row>
    <row r="15" spans="1:6" ht="158.4" x14ac:dyDescent="0.3">
      <c r="A15" s="39" t="s">
        <v>34</v>
      </c>
      <c r="B15" s="40" t="s">
        <v>35</v>
      </c>
      <c r="C15" s="41" t="s">
        <v>36</v>
      </c>
      <c r="D15" s="42" t="s">
        <v>37</v>
      </c>
      <c r="E15" s="43" t="s">
        <v>38</v>
      </c>
      <c r="F15" s="44" t="s">
        <v>287</v>
      </c>
    </row>
    <row r="16" spans="1:6" ht="86.4" x14ac:dyDescent="0.3">
      <c r="A16" s="45" t="s">
        <v>39</v>
      </c>
      <c r="B16" s="46" t="str">
        <f>IF(ISBLANK(F15), "Conditioneel*", "Verplicht")</f>
        <v>Verplicht</v>
      </c>
      <c r="C16" s="47" t="s">
        <v>36</v>
      </c>
      <c r="D16" s="48" t="s">
        <v>40</v>
      </c>
      <c r="E16" s="49" t="s">
        <v>41</v>
      </c>
      <c r="F16" s="50"/>
    </row>
    <row r="17" spans="1:6" ht="43.2" x14ac:dyDescent="0.3">
      <c r="A17" s="51" t="s">
        <v>42</v>
      </c>
      <c r="B17" s="52" t="s">
        <v>15</v>
      </c>
      <c r="C17" s="53" t="s">
        <v>16</v>
      </c>
      <c r="D17" s="54" t="s">
        <v>43</v>
      </c>
      <c r="E17" s="55" t="s">
        <v>44</v>
      </c>
      <c r="F17" s="56" t="s">
        <v>281</v>
      </c>
    </row>
    <row r="18" spans="1:6" ht="57.6" x14ac:dyDescent="0.3">
      <c r="A18" s="57" t="s">
        <v>45</v>
      </c>
      <c r="B18" s="58" t="s">
        <v>15</v>
      </c>
      <c r="C18" s="59" t="s">
        <v>16</v>
      </c>
      <c r="D18" s="60" t="s">
        <v>46</v>
      </c>
      <c r="E18" s="61" t="s">
        <v>47</v>
      </c>
      <c r="F18" s="199" t="s">
        <v>282</v>
      </c>
    </row>
    <row r="19" spans="1:6" ht="57.6" x14ac:dyDescent="0.3">
      <c r="A19" s="62" t="s">
        <v>11</v>
      </c>
      <c r="B19" s="63" t="s">
        <v>15</v>
      </c>
      <c r="C19" s="64" t="s">
        <v>16</v>
      </c>
      <c r="D19" s="65" t="s">
        <v>48</v>
      </c>
      <c r="E19" s="66" t="s">
        <v>49</v>
      </c>
      <c r="F19" s="67"/>
    </row>
    <row r="20" spans="1:6" ht="72" x14ac:dyDescent="0.3">
      <c r="A20" s="68" t="s">
        <v>50</v>
      </c>
      <c r="B20" s="69" t="s">
        <v>15</v>
      </c>
      <c r="C20" s="70" t="s">
        <v>16</v>
      </c>
      <c r="D20" s="71" t="s">
        <v>51</v>
      </c>
      <c r="E20" s="72" t="s">
        <v>52</v>
      </c>
      <c r="F20" s="73" t="s">
        <v>195</v>
      </c>
    </row>
    <row r="21" spans="1:6" ht="43.2" x14ac:dyDescent="0.3">
      <c r="A21" s="74" t="s">
        <v>53</v>
      </c>
      <c r="B21" s="75" t="s">
        <v>15</v>
      </c>
      <c r="C21" s="76" t="s">
        <v>54</v>
      </c>
      <c r="D21" s="77" t="s">
        <v>55</v>
      </c>
      <c r="E21" s="78" t="s">
        <v>56</v>
      </c>
      <c r="F21" s="79" t="s">
        <v>283</v>
      </c>
    </row>
    <row r="22" spans="1:6" ht="100.8" x14ac:dyDescent="0.3">
      <c r="A22" s="80" t="s">
        <v>57</v>
      </c>
      <c r="B22" s="81" t="s">
        <v>35</v>
      </c>
      <c r="C22" s="82" t="s">
        <v>36</v>
      </c>
      <c r="D22" s="83" t="s">
        <v>58</v>
      </c>
      <c r="E22" s="84" t="s">
        <v>59</v>
      </c>
      <c r="F22" s="85"/>
    </row>
    <row r="23" spans="1:6" ht="43.2" x14ac:dyDescent="0.3">
      <c r="A23" s="86" t="s">
        <v>60</v>
      </c>
      <c r="B23" s="87" t="s">
        <v>35</v>
      </c>
      <c r="C23" s="88" t="s">
        <v>36</v>
      </c>
      <c r="D23" s="89" t="s">
        <v>61</v>
      </c>
      <c r="E23" s="90" t="s">
        <v>62</v>
      </c>
      <c r="F23" s="91"/>
    </row>
    <row r="24" spans="1:6" ht="43.2" x14ac:dyDescent="0.3">
      <c r="A24" s="92" t="s">
        <v>63</v>
      </c>
      <c r="B24" s="93" t="s">
        <v>35</v>
      </c>
      <c r="C24" s="94" t="s">
        <v>36</v>
      </c>
      <c r="D24" s="95" t="s">
        <v>64</v>
      </c>
      <c r="E24" s="96" t="s">
        <v>65</v>
      </c>
      <c r="F24" s="97"/>
    </row>
    <row r="25" spans="1:6" ht="100.8" x14ac:dyDescent="0.3">
      <c r="A25" s="98" t="s">
        <v>66</v>
      </c>
      <c r="B25" s="99" t="s">
        <v>23</v>
      </c>
      <c r="C25" s="100" t="s">
        <v>36</v>
      </c>
      <c r="D25" s="101" t="s">
        <v>67</v>
      </c>
      <c r="E25" s="102" t="s">
        <v>68</v>
      </c>
      <c r="F25" s="103" t="s">
        <v>284</v>
      </c>
    </row>
    <row r="26" spans="1:6" ht="57.6" x14ac:dyDescent="0.3">
      <c r="A26" s="104" t="s">
        <v>69</v>
      </c>
      <c r="B26" s="105" t="s">
        <v>23</v>
      </c>
      <c r="C26" s="106" t="s">
        <v>36</v>
      </c>
      <c r="D26" s="107" t="s">
        <v>70</v>
      </c>
      <c r="E26" s="108" t="s">
        <v>71</v>
      </c>
      <c r="F26" s="109"/>
    </row>
    <row r="27" spans="1:6" ht="129.6" x14ac:dyDescent="0.3">
      <c r="A27" s="110" t="s">
        <v>72</v>
      </c>
      <c r="B27" s="111" t="s">
        <v>23</v>
      </c>
      <c r="C27" s="112" t="s">
        <v>36</v>
      </c>
      <c r="D27" s="113" t="s">
        <v>73</v>
      </c>
      <c r="E27" s="114" t="s">
        <v>74</v>
      </c>
      <c r="F27" s="115"/>
    </row>
    <row r="28" spans="1:6" ht="57.6" x14ac:dyDescent="0.3">
      <c r="A28" s="116" t="s">
        <v>75</v>
      </c>
      <c r="B28" s="117" t="s">
        <v>23</v>
      </c>
      <c r="C28" s="118" t="s">
        <v>36</v>
      </c>
      <c r="D28" s="119" t="s">
        <v>76</v>
      </c>
      <c r="E28" s="120" t="s">
        <v>77</v>
      </c>
      <c r="F28" s="121"/>
    </row>
    <row r="29" spans="1:6" ht="28.8" x14ac:dyDescent="0.3">
      <c r="A29" s="122" t="s">
        <v>78</v>
      </c>
      <c r="B29" s="123" t="s">
        <v>35</v>
      </c>
      <c r="C29" s="124" t="s">
        <v>36</v>
      </c>
      <c r="D29" s="125" t="s">
        <v>79</v>
      </c>
      <c r="E29" s="126" t="s">
        <v>80</v>
      </c>
      <c r="F29" s="127" t="s">
        <v>285</v>
      </c>
    </row>
    <row r="30" spans="1:6" ht="57.6" x14ac:dyDescent="0.3">
      <c r="A30" s="128" t="s">
        <v>81</v>
      </c>
      <c r="B30" s="129" t="s">
        <v>15</v>
      </c>
      <c r="C30" s="130" t="s">
        <v>16</v>
      </c>
      <c r="D30" s="131" t="s">
        <v>82</v>
      </c>
      <c r="E30" s="132" t="s">
        <v>83</v>
      </c>
      <c r="F30" s="133" t="s">
        <v>138</v>
      </c>
    </row>
    <row r="31" spans="1:6" ht="187.2" x14ac:dyDescent="0.3">
      <c r="A31" s="134" t="s">
        <v>84</v>
      </c>
      <c r="B31" s="135" t="str">
        <f>IF(F30="Openbaar", "Verplicht", "Conditioneel*")</f>
        <v>Conditioneel*</v>
      </c>
      <c r="C31" s="136" t="s">
        <v>24</v>
      </c>
      <c r="D31" s="137" t="s">
        <v>85</v>
      </c>
      <c r="E31" s="138" t="s">
        <v>86</v>
      </c>
      <c r="F31" s="139" t="s">
        <v>176</v>
      </c>
    </row>
    <row r="32" spans="1:6" ht="115.2" x14ac:dyDescent="0.3">
      <c r="A32" s="140" t="s">
        <v>87</v>
      </c>
      <c r="B32" s="141" t="str">
        <f>IF(F30="Voorwaardelijk", "Verplicht", "Conditioneel*")</f>
        <v>Verplicht</v>
      </c>
      <c r="C32" s="142" t="s">
        <v>24</v>
      </c>
      <c r="D32" s="143" t="s">
        <v>88</v>
      </c>
      <c r="E32" s="144" t="s">
        <v>89</v>
      </c>
      <c r="F32" s="145" t="s">
        <v>286</v>
      </c>
    </row>
    <row r="33" spans="1:6" ht="43.2" x14ac:dyDescent="0.3">
      <c r="A33" s="146" t="s">
        <v>90</v>
      </c>
      <c r="B33" s="147" t="s">
        <v>23</v>
      </c>
      <c r="C33" s="148" t="s">
        <v>24</v>
      </c>
      <c r="D33" s="149" t="s">
        <v>91</v>
      </c>
      <c r="E33" s="150" t="s">
        <v>92</v>
      </c>
      <c r="F33" s="151"/>
    </row>
    <row r="34" spans="1:6" ht="28.8" x14ac:dyDescent="0.3">
      <c r="A34" s="152" t="s">
        <v>93</v>
      </c>
      <c r="B34" s="153" t="s">
        <v>23</v>
      </c>
      <c r="C34" s="154" t="s">
        <v>24</v>
      </c>
      <c r="D34" s="155" t="s">
        <v>94</v>
      </c>
      <c r="E34" s="156" t="s">
        <v>95</v>
      </c>
      <c r="F34" s="157"/>
    </row>
    <row r="35" spans="1:6" ht="57.6" x14ac:dyDescent="0.3">
      <c r="A35" s="158" t="s">
        <v>96</v>
      </c>
      <c r="B35" s="159" t="s">
        <v>23</v>
      </c>
      <c r="C35" s="160" t="s">
        <v>24</v>
      </c>
      <c r="D35" s="161" t="s">
        <v>97</v>
      </c>
      <c r="E35" s="162" t="s">
        <v>98</v>
      </c>
      <c r="F35" s="163" t="s">
        <v>131</v>
      </c>
    </row>
    <row r="36" spans="1:6" ht="115.2" x14ac:dyDescent="0.3">
      <c r="A36" s="164" t="s">
        <v>99</v>
      </c>
      <c r="B36" s="165" t="s">
        <v>100</v>
      </c>
      <c r="C36" s="166" t="s">
        <v>24</v>
      </c>
      <c r="D36" s="167" t="s">
        <v>101</v>
      </c>
      <c r="E36" s="168" t="s">
        <v>102</v>
      </c>
      <c r="F36" s="169"/>
    </row>
    <row r="37" spans="1:6" ht="86.4" x14ac:dyDescent="0.3">
      <c r="A37" s="170" t="s">
        <v>103</v>
      </c>
      <c r="B37" s="171" t="str">
        <f>IF(ISBLANK(F36), "Conditioneel*", "Verplicht")</f>
        <v>Conditioneel*</v>
      </c>
      <c r="C37" s="172" t="s">
        <v>24</v>
      </c>
      <c r="D37" s="173" t="s">
        <v>104</v>
      </c>
      <c r="E37" s="174" t="s">
        <v>105</v>
      </c>
      <c r="F37" s="175"/>
    </row>
    <row r="38" spans="1:6" ht="57.6" x14ac:dyDescent="0.3">
      <c r="A38" s="176" t="s">
        <v>106</v>
      </c>
      <c r="B38" s="177" t="str">
        <f>IF(ISBLANK(F36), "Conditioneel*", "Verplicht")</f>
        <v>Conditioneel*</v>
      </c>
      <c r="C38" s="178" t="s">
        <v>24</v>
      </c>
      <c r="D38" s="179" t="s">
        <v>107</v>
      </c>
      <c r="E38" s="180" t="s">
        <v>108</v>
      </c>
      <c r="F38" s="181"/>
    </row>
    <row r="39" spans="1:6" ht="86.4" x14ac:dyDescent="0.3">
      <c r="A39" s="182" t="s">
        <v>109</v>
      </c>
      <c r="B39" s="183" t="s">
        <v>100</v>
      </c>
      <c r="C39" s="184" t="s">
        <v>24</v>
      </c>
      <c r="D39" s="185" t="s">
        <v>110</v>
      </c>
      <c r="E39" s="186" t="s">
        <v>111</v>
      </c>
      <c r="F39" s="187"/>
    </row>
    <row r="40" spans="1:6" ht="28.8" x14ac:dyDescent="0.3">
      <c r="A40" s="188" t="s">
        <v>112</v>
      </c>
      <c r="B40" s="189" t="s">
        <v>15</v>
      </c>
      <c r="C40" s="190" t="s">
        <v>16</v>
      </c>
      <c r="D40" s="191" t="s">
        <v>113</v>
      </c>
      <c r="E40" s="192" t="s">
        <v>114</v>
      </c>
      <c r="F40" s="193" t="s">
        <v>135</v>
      </c>
    </row>
    <row r="41" spans="1:6" ht="43.2" x14ac:dyDescent="0.3">
      <c r="A41" s="194" t="s">
        <v>115</v>
      </c>
      <c r="B41" s="195" t="s">
        <v>23</v>
      </c>
      <c r="C41" s="196" t="s">
        <v>24</v>
      </c>
      <c r="D41" s="197" t="s">
        <v>116</v>
      </c>
      <c r="E41" s="198" t="s">
        <v>117</v>
      </c>
      <c r="F41" s="200" t="s">
        <v>278</v>
      </c>
    </row>
  </sheetData>
  <dataValidations count="5">
    <dataValidation type="custom" allowBlank="1" showErrorMessage="1" errorTitle="Onjuiste UUID" error="De opgegeven identifier is geen correcte UUID." sqref="F11" xr:uid="{00000000-0002-0000-0000-000000000000}">
      <formula1>COUNTIF(F11, "????????-????-????-????-????????????")</formula1>
    </dataValidation>
    <dataValidation type="custom" allowBlank="1" showErrorMessage="1" errorTitle="Vul de afdeling juist in" error="Vul in als &quot;RIVM|Domein|Centrum|Afdeling&quot;. Bijvoorbeeld &quot;RIVM|IV|ODD|BIR&quot;." sqref="F17" xr:uid="{00000000-0002-0000-0000-000002000000}">
      <formula1>COUNTIF(F17, "*.*.*.*")</formula1>
    </dataValidation>
    <dataValidation type="custom" allowBlank="1" showErrorMessage="1" errorTitle="Vul 3 trefwoorden in" error="Vul minstens 3 trefwoorden in, gescheiden door een verticaal streepje. Bijvoorbeeld: Trefwoord|Trefwoord|Trefwoord" sqref="F21" xr:uid="{00000000-0002-0000-0000-000004000000}">
      <formula1>COUNTIF(F21, "*?|*?|?*")</formula1>
    </dataValidation>
    <dataValidation type="custom" allowBlank="1" showErrorMessage="1" errorTitle="Vul de datum juist in" error="JJJJ-MM-DD. Bijvoorbeeld: 2024-03-15" sqref="F39 F34 F23:F24" xr:uid="{00000000-0002-0000-0000-000005000000}">
      <formula1>COUNTIF(F23, "????-??-??")</formula1>
    </dataValidation>
    <dataValidation type="custom" allowBlank="1" showInputMessage="1" showErrorMessage="1" errorTitle="Link niet compleet" error="Zorg ervoor dat het adres begint met http:// of https://" prompt="Zorg ervoor dat het adres begint met http:// of https://" sqref="F27:F28" xr:uid="{00000000-0002-0000-0000-000007000000}">
      <formula1>COUNTIF(F27, "http*://*")</formula1>
    </dataValidation>
  </dataValidations>
  <hyperlinks>
    <hyperlink ref="F18" r:id="rId1" xr:uid="{D05EA9A7-B857-4B8F-A2E7-A3AB51109807}"/>
    <hyperlink ref="F41" r:id="rId2" xr:uid="{EB301CD8-08C6-4A1D-B87F-BD442DC52B3B}"/>
  </hyperlinks>
  <pageMargins left="0.75" right="0.75" top="1" bottom="1" header="0.5" footer="0.5"/>
  <extLst>
    <ext xmlns:x14="http://schemas.microsoft.com/office/spreadsheetml/2009/9/main" uri="{CCE6A557-97BC-4b89-ADB6-D9C93CAAB3DF}">
      <x14:dataValidations xmlns:xm="http://schemas.microsoft.com/office/excel/2006/main" count="9">
        <x14:dataValidation type="list" allowBlank="1" showInputMessage="1" showErrorMessage="1" error="Kies een optie uit het dropdownmenu" promptTitle="Kies een optie uit het menu" prompt="Klik op de pijl om een optie te selecteren" xr:uid="{00000000-0002-0000-0000-000001000000}">
          <x14:formula1>
            <xm:f>Controlled_vocabularies!$A$2:$A$3</xm:f>
          </x14:formula1>
          <xm:sqref>F12</xm:sqref>
        </x14:dataValidation>
        <x14:dataValidation type="list" allowBlank="1" showInputMessage="1" showErrorMessage="1" error="Kies een optie uit het dropdownmenu" promptTitle="Kies een optie uit het menu" prompt="Klik op de pijl om een optie te selecteren" xr:uid="{00000000-0002-0000-0000-000003000000}">
          <x14:formula1>
            <xm:f>Controlled_vocabularies!$B$2:$B$15</xm:f>
          </x14:formula1>
          <xm:sqref>F20</xm:sqref>
        </x14:dataValidation>
        <x14:dataValidation type="list" allowBlank="1" showInputMessage="1" showErrorMessage="1" error="Kies een optie uit het dropdownmenu" promptTitle="Kies een optie uit het menu" prompt="Klik op de pijl om een optie te selecteren" xr:uid="{00000000-0002-0000-0000-000009000000}">
          <x14:formula1>
            <xm:f>Controlled_vocabularies!$C$2:$C$4</xm:f>
          </x14:formula1>
          <xm:sqref>F30</xm:sqref>
        </x14:dataValidation>
        <x14:dataValidation type="list" allowBlank="1" showInputMessage="1" showErrorMessage="1" error="Kies een optie uit het dropdownmenu" promptTitle="Kies een optie uit het menu" prompt="Klik op de pijl om een optie te selecteren" xr:uid="{00000000-0002-0000-0000-00000A000000}">
          <x14:formula1>
            <xm:f>Controlled_vocabularies!$D$2:$D$18</xm:f>
          </x14:formula1>
          <xm:sqref>F31</xm:sqref>
        </x14:dataValidation>
        <x14:dataValidation type="list" allowBlank="1" showInputMessage="1" showErrorMessage="1" error="Kies een optie uit het dropdownmenu" promptTitle="Kies een optie uit het menu" prompt="Klik op de pijl om een optie te selecteren" xr:uid="{00000000-0002-0000-0000-00000C000000}">
          <x14:formula1>
            <xm:f>Controlled_vocabularies!$E$2:$E$7</xm:f>
          </x14:formula1>
          <xm:sqref>F35</xm:sqref>
        </x14:dataValidation>
        <x14:dataValidation type="list" allowBlank="1" showInputMessage="1" showErrorMessage="1" error="Kies een optie uit het dropdownmenu" promptTitle="Kies een optie uit het menu" prompt="Klik op de pijl om een optie te selecteren" xr:uid="{00000000-0002-0000-0000-00000D000000}">
          <x14:formula1>
            <xm:f>Controlled_vocabularies!$F$2:$F$62</xm:f>
          </x14:formula1>
          <xm:sqref>F36</xm:sqref>
        </x14:dataValidation>
        <x14:dataValidation type="list" allowBlank="1" showInputMessage="1" showErrorMessage="1" error="Kies een optie uit het dropdownmenu" promptTitle="Kies een optie uit het menu" prompt="Klik op de pijl om een optie te selecteren" xr:uid="{00000000-0002-0000-0000-00000E000000}">
          <x14:formula1>
            <xm:f>Controlled_vocabularies!$G$2:$G$17</xm:f>
          </x14:formula1>
          <xm:sqref>F37</xm:sqref>
        </x14:dataValidation>
        <x14:dataValidation type="list" allowBlank="1" showInputMessage="1" showErrorMessage="1" error="Kies een optie uit het dropdownmenu" promptTitle="Kies een optie uit het menu" prompt="Klik op de pijl om een optie te selecteren" xr:uid="{00000000-0002-0000-0000-00000F000000}">
          <x14:formula1>
            <xm:f>Controlled_vocabularies!$H$2:$H$31</xm:f>
          </x14:formula1>
          <xm:sqref>F38</xm:sqref>
        </x14:dataValidation>
        <x14:dataValidation type="list" allowBlank="1" showInputMessage="1" showErrorMessage="1" error="Kies een optie uit het dropdownmenu" promptTitle="Kies een optie uit het menu" prompt="Klik op de pijl om een optie te selecteren" xr:uid="{00000000-0002-0000-0000-000011000000}">
          <x14:formula1>
            <xm:f>Controlled_vocabularies!$I$2:$I$3</xm:f>
          </x14:formula1>
          <xm:sqref>F40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2"/>
  <sheetViews>
    <sheetView workbookViewId="0"/>
  </sheetViews>
  <sheetFormatPr defaultRowHeight="14.4" x14ac:dyDescent="0.3"/>
  <sheetData>
    <row r="1" spans="1:9" x14ac:dyDescent="0.3">
      <c r="A1" t="s">
        <v>118</v>
      </c>
      <c r="B1" t="s">
        <v>119</v>
      </c>
      <c r="C1" t="s">
        <v>120</v>
      </c>
      <c r="D1" t="s">
        <v>121</v>
      </c>
      <c r="E1" t="s">
        <v>122</v>
      </c>
      <c r="F1" t="s">
        <v>123</v>
      </c>
      <c r="G1" t="s">
        <v>124</v>
      </c>
      <c r="H1" t="s">
        <v>125</v>
      </c>
      <c r="I1" t="s">
        <v>126</v>
      </c>
    </row>
    <row r="2" spans="1:9" x14ac:dyDescent="0.3">
      <c r="A2" t="s">
        <v>127</v>
      </c>
      <c r="B2" t="s">
        <v>128</v>
      </c>
      <c r="C2" t="s">
        <v>129</v>
      </c>
      <c r="D2" t="s">
        <v>130</v>
      </c>
      <c r="E2" t="s">
        <v>131</v>
      </c>
      <c r="F2" t="s">
        <v>132</v>
      </c>
      <c r="G2" t="s">
        <v>133</v>
      </c>
      <c r="H2" t="s">
        <v>134</v>
      </c>
      <c r="I2" t="s">
        <v>135</v>
      </c>
    </row>
    <row r="3" spans="1:9" x14ac:dyDescent="0.3">
      <c r="A3" t="s">
        <v>136</v>
      </c>
      <c r="B3" t="s">
        <v>137</v>
      </c>
      <c r="C3" t="s">
        <v>138</v>
      </c>
      <c r="D3" t="s">
        <v>139</v>
      </c>
      <c r="E3" t="s">
        <v>140</v>
      </c>
      <c r="F3" t="s">
        <v>141</v>
      </c>
      <c r="G3" t="s">
        <v>142</v>
      </c>
      <c r="H3" t="s">
        <v>143</v>
      </c>
      <c r="I3" t="s">
        <v>144</v>
      </c>
    </row>
    <row r="4" spans="1:9" x14ac:dyDescent="0.3">
      <c r="B4" t="s">
        <v>145</v>
      </c>
      <c r="C4" t="s">
        <v>146</v>
      </c>
      <c r="D4" t="s">
        <v>147</v>
      </c>
      <c r="E4" t="s">
        <v>148</v>
      </c>
      <c r="F4" t="s">
        <v>149</v>
      </c>
      <c r="G4" t="s">
        <v>150</v>
      </c>
      <c r="H4" t="s">
        <v>151</v>
      </c>
    </row>
    <row r="5" spans="1:9" x14ac:dyDescent="0.3">
      <c r="B5" t="s">
        <v>152</v>
      </c>
      <c r="D5" t="s">
        <v>153</v>
      </c>
      <c r="E5" t="s">
        <v>154</v>
      </c>
      <c r="F5" t="s">
        <v>155</v>
      </c>
      <c r="G5" t="s">
        <v>156</v>
      </c>
      <c r="H5" t="s">
        <v>157</v>
      </c>
    </row>
    <row r="6" spans="1:9" x14ac:dyDescent="0.3">
      <c r="B6" t="s">
        <v>158</v>
      </c>
      <c r="D6" t="s">
        <v>159</v>
      </c>
      <c r="E6" t="s">
        <v>160</v>
      </c>
      <c r="F6" t="s">
        <v>161</v>
      </c>
      <c r="G6" t="s">
        <v>162</v>
      </c>
      <c r="H6" t="s">
        <v>163</v>
      </c>
    </row>
    <row r="7" spans="1:9" x14ac:dyDescent="0.3">
      <c r="B7" t="s">
        <v>164</v>
      </c>
      <c r="D7" t="s">
        <v>165</v>
      </c>
      <c r="E7" t="s">
        <v>166</v>
      </c>
      <c r="F7" t="s">
        <v>167</v>
      </c>
      <c r="G7" t="s">
        <v>168</v>
      </c>
      <c r="H7" t="s">
        <v>169</v>
      </c>
    </row>
    <row r="8" spans="1:9" x14ac:dyDescent="0.3">
      <c r="B8" t="s">
        <v>170</v>
      </c>
      <c r="D8" t="s">
        <v>171</v>
      </c>
      <c r="F8" t="s">
        <v>172</v>
      </c>
      <c r="G8" t="s">
        <v>173</v>
      </c>
      <c r="H8" t="s">
        <v>174</v>
      </c>
    </row>
    <row r="9" spans="1:9" x14ac:dyDescent="0.3">
      <c r="B9" t="s">
        <v>175</v>
      </c>
      <c r="D9" t="s">
        <v>176</v>
      </c>
      <c r="F9" t="s">
        <v>177</v>
      </c>
      <c r="G9" t="s">
        <v>178</v>
      </c>
      <c r="H9" t="s">
        <v>179</v>
      </c>
    </row>
    <row r="10" spans="1:9" x14ac:dyDescent="0.3">
      <c r="B10" t="s">
        <v>180</v>
      </c>
      <c r="D10" t="s">
        <v>181</v>
      </c>
      <c r="F10" t="s">
        <v>182</v>
      </c>
      <c r="G10" t="s">
        <v>183</v>
      </c>
      <c r="H10" t="s">
        <v>184</v>
      </c>
    </row>
    <row r="11" spans="1:9" x14ac:dyDescent="0.3">
      <c r="B11" t="s">
        <v>185</v>
      </c>
      <c r="D11" t="s">
        <v>186</v>
      </c>
      <c r="F11" t="s">
        <v>187</v>
      </c>
      <c r="G11" t="s">
        <v>188</v>
      </c>
      <c r="H11" t="s">
        <v>189</v>
      </c>
    </row>
    <row r="12" spans="1:9" x14ac:dyDescent="0.3">
      <c r="B12" t="s">
        <v>190</v>
      </c>
      <c r="D12" t="s">
        <v>191</v>
      </c>
      <c r="F12" t="s">
        <v>192</v>
      </c>
      <c r="G12" t="s">
        <v>193</v>
      </c>
      <c r="H12" t="s">
        <v>194</v>
      </c>
    </row>
    <row r="13" spans="1:9" x14ac:dyDescent="0.3">
      <c r="B13" t="s">
        <v>195</v>
      </c>
      <c r="D13" t="s">
        <v>196</v>
      </c>
      <c r="F13" t="s">
        <v>197</v>
      </c>
      <c r="G13" t="s">
        <v>198</v>
      </c>
      <c r="H13" t="s">
        <v>199</v>
      </c>
    </row>
    <row r="14" spans="1:9" x14ac:dyDescent="0.3">
      <c r="B14" t="s">
        <v>200</v>
      </c>
      <c r="D14" t="s">
        <v>201</v>
      </c>
      <c r="F14" t="s">
        <v>202</v>
      </c>
      <c r="G14" t="s">
        <v>203</v>
      </c>
      <c r="H14" t="s">
        <v>204</v>
      </c>
    </row>
    <row r="15" spans="1:9" x14ac:dyDescent="0.3">
      <c r="B15" t="s">
        <v>160</v>
      </c>
      <c r="D15" t="s">
        <v>205</v>
      </c>
      <c r="F15" t="s">
        <v>206</v>
      </c>
      <c r="G15" t="s">
        <v>207</v>
      </c>
      <c r="H15" t="s">
        <v>208</v>
      </c>
    </row>
    <row r="16" spans="1:9" x14ac:dyDescent="0.3">
      <c r="D16" t="s">
        <v>209</v>
      </c>
      <c r="F16" t="s">
        <v>210</v>
      </c>
      <c r="G16" t="s">
        <v>211</v>
      </c>
      <c r="H16" t="s">
        <v>212</v>
      </c>
    </row>
    <row r="17" spans="4:8" x14ac:dyDescent="0.3">
      <c r="D17" t="s">
        <v>213</v>
      </c>
      <c r="F17" t="s">
        <v>214</v>
      </c>
      <c r="G17" t="s">
        <v>215</v>
      </c>
      <c r="H17" t="s">
        <v>216</v>
      </c>
    </row>
    <row r="18" spans="4:8" x14ac:dyDescent="0.3">
      <c r="D18" t="s">
        <v>217</v>
      </c>
      <c r="F18" t="s">
        <v>218</v>
      </c>
      <c r="H18" t="s">
        <v>219</v>
      </c>
    </row>
    <row r="19" spans="4:8" x14ac:dyDescent="0.3">
      <c r="F19" t="s">
        <v>220</v>
      </c>
      <c r="H19" t="s">
        <v>221</v>
      </c>
    </row>
    <row r="20" spans="4:8" x14ac:dyDescent="0.3">
      <c r="F20" t="s">
        <v>222</v>
      </c>
      <c r="H20" t="s">
        <v>223</v>
      </c>
    </row>
    <row r="21" spans="4:8" x14ac:dyDescent="0.3">
      <c r="F21" t="s">
        <v>224</v>
      </c>
      <c r="H21" t="s">
        <v>225</v>
      </c>
    </row>
    <row r="22" spans="4:8" x14ac:dyDescent="0.3">
      <c r="F22" t="s">
        <v>226</v>
      </c>
      <c r="H22" t="s">
        <v>227</v>
      </c>
    </row>
    <row r="23" spans="4:8" x14ac:dyDescent="0.3">
      <c r="F23" t="s">
        <v>228</v>
      </c>
      <c r="H23" t="s">
        <v>229</v>
      </c>
    </row>
    <row r="24" spans="4:8" x14ac:dyDescent="0.3">
      <c r="F24" t="s">
        <v>230</v>
      </c>
      <c r="H24" t="s">
        <v>231</v>
      </c>
    </row>
    <row r="25" spans="4:8" x14ac:dyDescent="0.3">
      <c r="F25" t="s">
        <v>232</v>
      </c>
      <c r="H25" t="s">
        <v>233</v>
      </c>
    </row>
    <row r="26" spans="4:8" x14ac:dyDescent="0.3">
      <c r="F26" t="s">
        <v>234</v>
      </c>
      <c r="H26" t="s">
        <v>235</v>
      </c>
    </row>
    <row r="27" spans="4:8" x14ac:dyDescent="0.3">
      <c r="F27" t="s">
        <v>236</v>
      </c>
      <c r="H27" t="s">
        <v>237</v>
      </c>
    </row>
    <row r="28" spans="4:8" x14ac:dyDescent="0.3">
      <c r="F28" t="s">
        <v>238</v>
      </c>
      <c r="H28" t="s">
        <v>239</v>
      </c>
    </row>
    <row r="29" spans="4:8" x14ac:dyDescent="0.3">
      <c r="F29" t="s">
        <v>240</v>
      </c>
      <c r="H29" t="s">
        <v>241</v>
      </c>
    </row>
    <row r="30" spans="4:8" x14ac:dyDescent="0.3">
      <c r="F30" t="s">
        <v>242</v>
      </c>
      <c r="H30" t="s">
        <v>243</v>
      </c>
    </row>
    <row r="31" spans="4:8" x14ac:dyDescent="0.3">
      <c r="F31" t="s">
        <v>244</v>
      </c>
      <c r="H31" t="s">
        <v>245</v>
      </c>
    </row>
    <row r="32" spans="4:8" x14ac:dyDescent="0.3">
      <c r="F32" t="s">
        <v>246</v>
      </c>
    </row>
    <row r="33" spans="6:6" x14ac:dyDescent="0.3">
      <c r="F33" t="s">
        <v>247</v>
      </c>
    </row>
    <row r="34" spans="6:6" x14ac:dyDescent="0.3">
      <c r="F34" t="s">
        <v>248</v>
      </c>
    </row>
    <row r="35" spans="6:6" x14ac:dyDescent="0.3">
      <c r="F35" t="s">
        <v>249</v>
      </c>
    </row>
    <row r="36" spans="6:6" x14ac:dyDescent="0.3">
      <c r="F36" t="s">
        <v>250</v>
      </c>
    </row>
    <row r="37" spans="6:6" x14ac:dyDescent="0.3">
      <c r="F37" t="s">
        <v>251</v>
      </c>
    </row>
    <row r="38" spans="6:6" x14ac:dyDescent="0.3">
      <c r="F38" t="s">
        <v>252</v>
      </c>
    </row>
    <row r="39" spans="6:6" x14ac:dyDescent="0.3">
      <c r="F39" t="s">
        <v>253</v>
      </c>
    </row>
    <row r="40" spans="6:6" x14ac:dyDescent="0.3">
      <c r="F40" t="s">
        <v>254</v>
      </c>
    </row>
    <row r="41" spans="6:6" x14ac:dyDescent="0.3">
      <c r="F41" t="s">
        <v>255</v>
      </c>
    </row>
    <row r="42" spans="6:6" x14ac:dyDescent="0.3">
      <c r="F42" t="s">
        <v>256</v>
      </c>
    </row>
    <row r="43" spans="6:6" x14ac:dyDescent="0.3">
      <c r="F43" t="s">
        <v>257</v>
      </c>
    </row>
    <row r="44" spans="6:6" x14ac:dyDescent="0.3">
      <c r="F44" t="s">
        <v>258</v>
      </c>
    </row>
    <row r="45" spans="6:6" x14ac:dyDescent="0.3">
      <c r="F45" t="s">
        <v>259</v>
      </c>
    </row>
    <row r="46" spans="6:6" x14ac:dyDescent="0.3">
      <c r="F46" t="s">
        <v>260</v>
      </c>
    </row>
    <row r="47" spans="6:6" x14ac:dyDescent="0.3">
      <c r="F47" t="s">
        <v>261</v>
      </c>
    </row>
    <row r="48" spans="6:6" x14ac:dyDescent="0.3">
      <c r="F48" t="s">
        <v>262</v>
      </c>
    </row>
    <row r="49" spans="6:6" x14ac:dyDescent="0.3">
      <c r="F49" t="s">
        <v>263</v>
      </c>
    </row>
    <row r="50" spans="6:6" x14ac:dyDescent="0.3">
      <c r="F50" t="s">
        <v>264</v>
      </c>
    </row>
    <row r="51" spans="6:6" x14ac:dyDescent="0.3">
      <c r="F51" t="s">
        <v>265</v>
      </c>
    </row>
    <row r="52" spans="6:6" x14ac:dyDescent="0.3">
      <c r="F52" t="s">
        <v>266</v>
      </c>
    </row>
    <row r="53" spans="6:6" x14ac:dyDescent="0.3">
      <c r="F53" t="s">
        <v>267</v>
      </c>
    </row>
    <row r="54" spans="6:6" x14ac:dyDescent="0.3">
      <c r="F54" t="s">
        <v>268</v>
      </c>
    </row>
    <row r="55" spans="6:6" x14ac:dyDescent="0.3">
      <c r="F55" t="s">
        <v>269</v>
      </c>
    </row>
    <row r="56" spans="6:6" x14ac:dyDescent="0.3">
      <c r="F56" t="s">
        <v>270</v>
      </c>
    </row>
    <row r="57" spans="6:6" x14ac:dyDescent="0.3">
      <c r="F57" t="s">
        <v>271</v>
      </c>
    </row>
    <row r="58" spans="6:6" x14ac:dyDescent="0.3">
      <c r="F58" t="s">
        <v>272</v>
      </c>
    </row>
    <row r="59" spans="6:6" x14ac:dyDescent="0.3">
      <c r="F59" t="s">
        <v>273</v>
      </c>
    </row>
    <row r="60" spans="6:6" x14ac:dyDescent="0.3">
      <c r="F60" t="s">
        <v>274</v>
      </c>
    </row>
    <row r="61" spans="6:6" x14ac:dyDescent="0.3">
      <c r="F61" t="s">
        <v>275</v>
      </c>
    </row>
    <row r="62" spans="6:6" x14ac:dyDescent="0.3">
      <c r="F62" t="s">
        <v>276</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2374AC1FAA6BD46B1AB71C9C21C81D1" ma:contentTypeVersion="12" ma:contentTypeDescription="Een nieuw document maken." ma:contentTypeScope="" ma:versionID="45f91f8ac39ec5ec3f6aa5680eb91a44">
  <xsd:schema xmlns:xsd="http://www.w3.org/2001/XMLSchema" xmlns:xs="http://www.w3.org/2001/XMLSchema" xmlns:p="http://schemas.microsoft.com/office/2006/metadata/properties" xmlns:ns2="b7ffdcbd-0daa-4eb5-a24e-6f63d17188bf" xmlns:ns3="4a3f945d-e0e5-4ef5-936c-347c5e2eb1d5" targetNamespace="http://schemas.microsoft.com/office/2006/metadata/properties" ma:root="true" ma:fieldsID="d09af104b0d9d6b9dfb914f9dd26e48b" ns2:_="" ns3:_="">
    <xsd:import namespace="b7ffdcbd-0daa-4eb5-a24e-6f63d17188bf"/>
    <xsd:import namespace="4a3f945d-e0e5-4ef5-936c-347c5e2eb1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ffdcbd-0daa-4eb5-a24e-6f63d17188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9f1f8003-3544-4801-a0bb-558fc8ffc21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a3f945d-e0e5-4ef5-936c-347c5e2eb1d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72da43e-5b70-4b0b-a57b-ae7a6c2084b3}" ma:internalName="TaxCatchAll" ma:showField="CatchAllData" ma:web="4a3f945d-e0e5-4ef5-936c-347c5e2eb1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f945d-e0e5-4ef5-936c-347c5e2eb1d5" xsi:nil="true"/>
    <lcf76f155ced4ddcb4097134ff3c332f xmlns="b7ffdcbd-0daa-4eb5-a24e-6f63d17188b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F5FB906-D156-4041-8EA7-25FC8724A5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ffdcbd-0daa-4eb5-a24e-6f63d17188bf"/>
    <ds:schemaRef ds:uri="4a3f945d-e0e5-4ef5-936c-347c5e2eb1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5312CDD-797D-43F1-BFE7-E1FB2B62F3EF}">
  <ds:schemaRefs>
    <ds:schemaRef ds:uri="http://schemas.microsoft.com/sharepoint/v3/contenttype/forms"/>
  </ds:schemaRefs>
</ds:datastoreItem>
</file>

<file path=customXml/itemProps3.xml><?xml version="1.0" encoding="utf-8"?>
<ds:datastoreItem xmlns:ds="http://schemas.openxmlformats.org/officeDocument/2006/customXml" ds:itemID="{8CB72DD7-C390-4BAE-8A8D-0E8F8922C967}">
  <ds:schemaRefs>
    <ds:schemaRef ds:uri="http://schemas.microsoft.com/office/2006/metadata/properties"/>
    <ds:schemaRef ds:uri="http://schemas.microsoft.com/office/infopath/2007/PartnerControls"/>
    <ds:schemaRef ds:uri="4a3f945d-e0e5-4ef5-936c-347c5e2eb1d5"/>
    <ds:schemaRef ds:uri="b7ffdcbd-0daa-4eb5-a24e-6f63d17188b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Metadatavelden_Versie1.2.0</vt:lpstr>
      <vt:lpstr>Controlled_vocabularies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Nathalie Dierichs</cp:lastModifiedBy>
  <cp:revision/>
  <dcterms:created xsi:type="dcterms:W3CDTF">2025-06-26T08:48:58Z</dcterms:created>
  <dcterms:modified xsi:type="dcterms:W3CDTF">2025-07-15T10:44:14Z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0x01010072374AC1FAA6BD46B1AB71C9C21C81D1</vt:lpwstr>
  </property>
  <property fmtid="{D5CDD505-2E9C-101B-9397-08002B2CF9AE}" pid="3" name="MediaServiceImageTags">
    <vt:lpwstr/>
  </property>
</Properties>
</file>