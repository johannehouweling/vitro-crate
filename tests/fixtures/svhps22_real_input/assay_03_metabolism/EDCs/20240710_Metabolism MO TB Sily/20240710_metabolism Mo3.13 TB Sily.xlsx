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Nathalie\Experiments\2024\Metabolisme\20240710_Metabolism MO TB Sily\"/>
    </mc:Choice>
  </mc:AlternateContent>
  <bookViews>
    <workbookView xWindow="37410" yWindow="810" windowWidth="31020" windowHeight="20040" activeTab="2"/>
  </bookViews>
  <sheets>
    <sheet name="Summary" sheetId="1" r:id="rId1"/>
    <sheet name="Cells" sheetId="2" r:id="rId2"/>
    <sheet name="Conversion Deio3" sheetId="13" r:id="rId3"/>
    <sheet name="Layout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13" l="1"/>
  <c r="B14" i="13"/>
  <c r="D13" i="13"/>
  <c r="B12" i="13"/>
  <c r="D11" i="13"/>
  <c r="B9" i="13"/>
  <c r="C7" i="13"/>
  <c r="B7" i="13"/>
  <c r="D6" i="13"/>
  <c r="B4" i="13"/>
  <c r="H34" i="13" l="1"/>
  <c r="M34" i="13" s="1"/>
  <c r="H35" i="13"/>
  <c r="L35" i="13" s="1"/>
  <c r="J35" i="13"/>
  <c r="K35" i="13"/>
  <c r="O35" i="13"/>
  <c r="H36" i="13"/>
  <c r="K36" i="13" s="1"/>
  <c r="H37" i="13"/>
  <c r="J37" i="13" s="1"/>
  <c r="H38" i="13"/>
  <c r="M38" i="13" s="1"/>
  <c r="H39" i="13"/>
  <c r="N39" i="13" s="1"/>
  <c r="J39" i="13"/>
  <c r="K39" i="13"/>
  <c r="M39" i="13"/>
  <c r="H40" i="13"/>
  <c r="M40" i="13" s="1"/>
  <c r="H41" i="13"/>
  <c r="L41" i="13" s="1"/>
  <c r="H42" i="13"/>
  <c r="K42" i="13" s="1"/>
  <c r="O34" i="13" l="1"/>
  <c r="O42" i="13"/>
  <c r="J42" i="13"/>
  <c r="O41" i="13"/>
  <c r="K41" i="13"/>
  <c r="J41" i="13"/>
  <c r="O40" i="13"/>
  <c r="L40" i="13"/>
  <c r="K40" i="13"/>
  <c r="J40" i="13"/>
  <c r="O39" i="13"/>
  <c r="L39" i="13"/>
  <c r="L38" i="13"/>
  <c r="K38" i="13"/>
  <c r="J38" i="13"/>
  <c r="O38" i="13"/>
  <c r="N38" i="13"/>
  <c r="O37" i="13"/>
  <c r="O36" i="13"/>
  <c r="J36" i="13"/>
  <c r="L34" i="13"/>
  <c r="K34" i="13"/>
  <c r="J34" i="13"/>
  <c r="N37" i="13"/>
  <c r="N42" i="13"/>
  <c r="M37" i="13"/>
  <c r="N36" i="13"/>
  <c r="M42" i="13"/>
  <c r="N41" i="13"/>
  <c r="L37" i="13"/>
  <c r="M36" i="13"/>
  <c r="N35" i="13"/>
  <c r="L42" i="13"/>
  <c r="M41" i="13"/>
  <c r="N40" i="13"/>
  <c r="K37" i="13"/>
  <c r="L36" i="13"/>
  <c r="M35" i="13"/>
  <c r="N34" i="13"/>
  <c r="H29" i="13"/>
  <c r="M29" i="13" s="1"/>
  <c r="H30" i="13"/>
  <c r="L30" i="13" s="1"/>
  <c r="H31" i="13"/>
  <c r="K31" i="13" s="1"/>
  <c r="H32" i="13"/>
  <c r="J32" i="13" s="1"/>
  <c r="H33" i="13"/>
  <c r="J33" i="13" s="1"/>
  <c r="C24" i="3"/>
  <c r="O33" i="13" l="1"/>
  <c r="L33" i="13"/>
  <c r="N33" i="13"/>
  <c r="M33" i="13"/>
  <c r="K33" i="13"/>
  <c r="O32" i="13"/>
  <c r="O31" i="13"/>
  <c r="J31" i="13"/>
  <c r="O30" i="13"/>
  <c r="K30" i="13"/>
  <c r="J30" i="13"/>
  <c r="L29" i="13"/>
  <c r="K29" i="13"/>
  <c r="J29" i="13"/>
  <c r="O29" i="13"/>
  <c r="N32" i="13"/>
  <c r="M32" i="13"/>
  <c r="N31" i="13"/>
  <c r="L32" i="13"/>
  <c r="M31" i="13"/>
  <c r="N30" i="13"/>
  <c r="K32" i="13"/>
  <c r="L31" i="13"/>
  <c r="M30" i="13"/>
  <c r="N29" i="13"/>
  <c r="H17" i="13"/>
  <c r="M17" i="13" s="1"/>
  <c r="H18" i="13"/>
  <c r="L18" i="13" s="1"/>
  <c r="H19" i="13"/>
  <c r="K19" i="13" s="1"/>
  <c r="H20" i="13"/>
  <c r="J20" i="13" s="1"/>
  <c r="H21" i="13"/>
  <c r="K21" i="13" s="1"/>
  <c r="H22" i="13"/>
  <c r="N22" i="13" s="1"/>
  <c r="H23" i="13"/>
  <c r="M23" i="13" s="1"/>
  <c r="H24" i="13"/>
  <c r="L24" i="13" s="1"/>
  <c r="J24" i="13"/>
  <c r="H25" i="13"/>
  <c r="K25" i="13" s="1"/>
  <c r="H26" i="13"/>
  <c r="J26" i="13" s="1"/>
  <c r="H27" i="13"/>
  <c r="J27" i="13" s="1"/>
  <c r="H28" i="13"/>
  <c r="N28" i="13" s="1"/>
  <c r="O23" i="13" l="1"/>
  <c r="L23" i="13"/>
  <c r="O24" i="13"/>
  <c r="K23" i="13"/>
  <c r="K24" i="13"/>
  <c r="J23" i="13"/>
  <c r="M28" i="13"/>
  <c r="L28" i="13"/>
  <c r="O28" i="13"/>
  <c r="K28" i="13"/>
  <c r="J28" i="13"/>
  <c r="L27" i="13"/>
  <c r="M27" i="13"/>
  <c r="K27" i="13"/>
  <c r="O27" i="13"/>
  <c r="N27" i="13"/>
  <c r="O26" i="13"/>
  <c r="O25" i="13"/>
  <c r="J25" i="13"/>
  <c r="L22" i="13"/>
  <c r="J22" i="13"/>
  <c r="O22" i="13"/>
  <c r="M22" i="13"/>
  <c r="K22" i="13"/>
  <c r="J21" i="13"/>
  <c r="O21" i="13"/>
  <c r="N21" i="13"/>
  <c r="M21" i="13"/>
  <c r="L21" i="13"/>
  <c r="O20" i="13"/>
  <c r="J19" i="13"/>
  <c r="O19" i="13"/>
  <c r="K18" i="13"/>
  <c r="O18" i="13"/>
  <c r="J18" i="13"/>
  <c r="O17" i="13"/>
  <c r="L17" i="13"/>
  <c r="K17" i="13"/>
  <c r="J17" i="13"/>
  <c r="N26" i="13"/>
  <c r="N20" i="13"/>
  <c r="M26" i="13"/>
  <c r="N25" i="13"/>
  <c r="M20" i="13"/>
  <c r="N19" i="13"/>
  <c r="L26" i="13"/>
  <c r="M25" i="13"/>
  <c r="N24" i="13"/>
  <c r="L20" i="13"/>
  <c r="M19" i="13"/>
  <c r="N18" i="13"/>
  <c r="K26" i="13"/>
  <c r="L25" i="13"/>
  <c r="M24" i="13"/>
  <c r="N23" i="13"/>
  <c r="K20" i="13"/>
  <c r="L19" i="13"/>
  <c r="M18" i="13"/>
  <c r="N17" i="13"/>
  <c r="H3" i="13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L14" i="13" l="1"/>
  <c r="L15" i="13"/>
  <c r="L16" i="13"/>
  <c r="M13" i="13"/>
  <c r="J13" i="13"/>
  <c r="K13" i="13"/>
  <c r="L13" i="13"/>
  <c r="O13" i="13"/>
  <c r="J14" i="13"/>
  <c r="K14" i="13"/>
  <c r="N14" i="13"/>
  <c r="O14" i="13"/>
  <c r="J16" i="13"/>
  <c r="K16" i="13" l="1"/>
  <c r="O15" i="13"/>
  <c r="K15" i="13"/>
  <c r="J15" i="13"/>
  <c r="O16" i="13"/>
  <c r="N16" i="13"/>
  <c r="N15" i="13"/>
  <c r="M16" i="13"/>
  <c r="M15" i="13"/>
  <c r="M14" i="13"/>
  <c r="N13" i="13"/>
  <c r="O3" i="13" l="1"/>
  <c r="J4" i="13"/>
  <c r="J5" i="13"/>
  <c r="M5" i="13"/>
  <c r="N5" i="13"/>
  <c r="O5" i="13"/>
  <c r="J6" i="13"/>
  <c r="L6" i="13"/>
  <c r="M6" i="13"/>
  <c r="O6" i="13"/>
  <c r="M7" i="13"/>
  <c r="O7" i="13"/>
  <c r="K8" i="13"/>
  <c r="J8" i="13"/>
  <c r="AB8" i="13"/>
  <c r="L9" i="13"/>
  <c r="J10" i="13"/>
  <c r="K10" i="13"/>
  <c r="O10" i="13"/>
  <c r="K11" i="13"/>
  <c r="O12" i="13"/>
  <c r="K12" i="13"/>
  <c r="L12" i="13"/>
  <c r="O11" i="13" l="1"/>
  <c r="N11" i="13"/>
  <c r="L11" i="13"/>
  <c r="J11" i="13"/>
  <c r="O8" i="13"/>
  <c r="N8" i="13"/>
  <c r="M8" i="13"/>
  <c r="L8" i="13"/>
  <c r="O4" i="13"/>
  <c r="N4" i="13"/>
  <c r="L7" i="13"/>
  <c r="K7" i="13"/>
  <c r="N10" i="13"/>
  <c r="M11" i="13"/>
  <c r="M10" i="13"/>
  <c r="N6" i="13"/>
  <c r="J9" i="13"/>
  <c r="K9" i="13"/>
  <c r="M9" i="13"/>
  <c r="K3" i="13"/>
  <c r="L3" i="13"/>
  <c r="M3" i="13"/>
  <c r="N3" i="13"/>
  <c r="J3" i="13"/>
  <c r="M12" i="13"/>
  <c r="N12" i="13"/>
  <c r="J12" i="13"/>
  <c r="O9" i="13"/>
  <c r="N9" i="13"/>
  <c r="L10" i="13"/>
  <c r="J7" i="13"/>
  <c r="K6" i="13"/>
  <c r="L5" i="13"/>
  <c r="M4" i="13"/>
  <c r="K5" i="13"/>
  <c r="L4" i="13"/>
  <c r="N7" i="13"/>
  <c r="K4" i="13"/>
  <c r="C23" i="3" l="1"/>
</calcChain>
</file>

<file path=xl/sharedStrings.xml><?xml version="1.0" encoding="utf-8"?>
<sst xmlns="http://schemas.openxmlformats.org/spreadsheetml/2006/main" count="110" uniqueCount="90">
  <si>
    <t>Name</t>
  </si>
  <si>
    <t>Nathalie</t>
  </si>
  <si>
    <t>Date</t>
  </si>
  <si>
    <t>Cell type</t>
  </si>
  <si>
    <t>Transporter constructs</t>
  </si>
  <si>
    <t>none</t>
  </si>
  <si>
    <t>Substrate</t>
  </si>
  <si>
    <t>Inhibitors</t>
  </si>
  <si>
    <t>None</t>
  </si>
  <si>
    <t>Short description</t>
  </si>
  <si>
    <t>Incubation times</t>
  </si>
  <si>
    <t>Passage number</t>
  </si>
  <si>
    <t>Growth medium</t>
  </si>
  <si>
    <t>DMEM/F12 + 9% FBS + P/S</t>
  </si>
  <si>
    <t>CT medium</t>
  </si>
  <si>
    <t>Seeding density</t>
  </si>
  <si>
    <t>Protocol</t>
  </si>
  <si>
    <t>Trypsinize with 1 ml trypsin ~xx min</t>
  </si>
  <si>
    <t>quenche with 10 ml growth medium</t>
  </si>
  <si>
    <t>Centrifuge 5' 1500 rpm, remove medium, take up cells in 10 ml growth medium</t>
  </si>
  <si>
    <t>Cell count</t>
  </si>
  <si>
    <t xml:space="preserve">Need </t>
  </si>
  <si>
    <t>Dilute</t>
  </si>
  <si>
    <t>Plate</t>
  </si>
  <si>
    <t>Plate 1 ml per well</t>
  </si>
  <si>
    <t>1000 ul per well</t>
  </si>
  <si>
    <t>Incubation volume</t>
  </si>
  <si>
    <t>incubation time(s)</t>
  </si>
  <si>
    <t>inhibitors</t>
  </si>
  <si>
    <t>lysis buffer</t>
  </si>
  <si>
    <t>NaOH</t>
  </si>
  <si>
    <t>Calculations</t>
  </si>
  <si>
    <t>ml</t>
  </si>
  <si>
    <t>uL</t>
  </si>
  <si>
    <t>Cold substrate  (1 uM)</t>
  </si>
  <si>
    <t>Tracer</t>
  </si>
  <si>
    <t>cpm per sample</t>
  </si>
  <si>
    <t>Tracer control: medium + acetonitril+0.1%AA</t>
  </si>
  <si>
    <t>%T4</t>
  </si>
  <si>
    <t>%rT3</t>
  </si>
  <si>
    <t>%T3</t>
  </si>
  <si>
    <t>%T2</t>
  </si>
  <si>
    <t>%T1</t>
  </si>
  <si>
    <t>%I</t>
  </si>
  <si>
    <t>Som</t>
  </si>
  <si>
    <t>T4 (11.5)</t>
  </si>
  <si>
    <t>rT3 (8.9)</t>
  </si>
  <si>
    <t>T3 (8.1)</t>
  </si>
  <si>
    <t>3,3'-T2 (5.7)</t>
  </si>
  <si>
    <t>T1 (2.9)</t>
  </si>
  <si>
    <t>I (1.3)</t>
  </si>
  <si>
    <t>30/11/2022 T4 data</t>
  </si>
  <si>
    <t>grow cells in T75 flasks</t>
  </si>
  <si>
    <t>200 uL</t>
  </si>
  <si>
    <t>T3</t>
  </si>
  <si>
    <t>CPM 1 uL T3 stock</t>
  </si>
  <si>
    <t>2x T3</t>
  </si>
  <si>
    <t>MO3.13 T3 DMSO 1</t>
  </si>
  <si>
    <t>MO3.13 T3 DMSO 2</t>
  </si>
  <si>
    <t>MO3.13 T3 IOP 1</t>
  </si>
  <si>
    <t>MO3.13 T3 IOP 2</t>
  </si>
  <si>
    <t>T3 Tracer B</t>
  </si>
  <si>
    <t>T3 Tracer A</t>
  </si>
  <si>
    <t>IOP</t>
  </si>
  <si>
    <t>0.5 ml</t>
  </si>
  <si>
    <t>24 hours</t>
  </si>
  <si>
    <t>Plate in 12 wells plates:</t>
  </si>
  <si>
    <t>Dilute cells in medium to 100000 or 200000 cells per ml</t>
  </si>
  <si>
    <t>MO3.13</t>
  </si>
  <si>
    <t>2 flasks pooled</t>
  </si>
  <si>
    <t>Dmso 0.5%</t>
  </si>
  <si>
    <t>MO3.13 T3 DMSO 1% 1</t>
  </si>
  <si>
    <t>MO3.13 T3 DMSO 1% 2</t>
  </si>
  <si>
    <t>MO3.13 T3 SILY 1</t>
  </si>
  <si>
    <t>MO3.13 T3 SILY 2</t>
  </si>
  <si>
    <t>1 nM  T3</t>
  </si>
  <si>
    <t>DMSO 0.5%, IOP, BSP, CP curve, TBBPA, DMSO 1% &amp; Sily</t>
  </si>
  <si>
    <t>1 nM T3</t>
  </si>
  <si>
    <t>TBBPA</t>
  </si>
  <si>
    <t>DMSO 1 %</t>
  </si>
  <si>
    <t>SILY</t>
  </si>
  <si>
    <t>MO3.13 T3 TBBPA 1</t>
  </si>
  <si>
    <t>MO3.13 T3 TBBPA 2</t>
  </si>
  <si>
    <t>Mo3.13</t>
  </si>
  <si>
    <t>P32</t>
  </si>
  <si>
    <t xml:space="preserve">100000 cells/ml </t>
  </si>
  <si>
    <r>
      <t>7.64x10</t>
    </r>
    <r>
      <rPr>
        <vertAlign val="superscript"/>
        <sz val="11"/>
        <rFont val="Calibri"/>
        <family val="2"/>
        <scheme val="minor"/>
      </rPr>
      <t>5</t>
    </r>
    <r>
      <rPr>
        <sz val="11"/>
        <rFont val="Calibri"/>
        <family val="2"/>
        <scheme val="minor"/>
      </rPr>
      <t xml:space="preserve"> viable cells per ml</t>
    </r>
  </si>
  <si>
    <r>
      <t>1.2x106</t>
    </r>
    <r>
      <rPr>
        <vertAlign val="superscript"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total cells needed</t>
    </r>
  </si>
  <si>
    <t>1.6 ml cell suspension in total of 12 ml medium</t>
  </si>
  <si>
    <t>Expose MO3.13 to TBBPA and Sily for 24 hours to measure effect on 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</si>
</sst>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8"/>
      <name val="Arial"/>
      <family val="2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5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14" fontId="3" fillId="0" borderId="0" xfId="0" applyNumberFormat="1" applyFont="1"/>
    <xf numFmtId="0" fontId="4" fillId="0" borderId="0" xfId="0" applyFont="1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4" xfId="0" applyFill="1" applyBorder="1"/>
    <xf numFmtId="0" fontId="0" fillId="0" borderId="0" xfId="0" applyFill="1"/>
    <xf numFmtId="164" fontId="0" fillId="0" borderId="0" xfId="0" applyNumberFormat="1" applyBorder="1"/>
    <xf numFmtId="0" fontId="0" fillId="0" borderId="0" xfId="0" applyFill="1" applyBorder="1"/>
    <xf numFmtId="0" fontId="0" fillId="0" borderId="10" xfId="0" applyBorder="1"/>
    <xf numFmtId="164" fontId="0" fillId="0" borderId="0" xfId="0" applyNumberFormat="1" applyFill="1" applyBorder="1"/>
    <xf numFmtId="0" fontId="0" fillId="0" borderId="10" xfId="0" applyFill="1" applyBorder="1"/>
    <xf numFmtId="0" fontId="1" fillId="2" borderId="0" xfId="0" applyFont="1" applyFill="1" applyBorder="1" applyAlignment="1">
      <alignment horizontal="center"/>
    </xf>
    <xf numFmtId="0" fontId="0" fillId="4" borderId="11" xfId="0" applyFill="1" applyBorder="1"/>
    <xf numFmtId="0" fontId="6" fillId="0" borderId="0" xfId="0" applyFont="1" applyFill="1"/>
    <xf numFmtId="0" fontId="3" fillId="0" borderId="0" xfId="0" applyFont="1" applyFill="1"/>
    <xf numFmtId="0" fontId="6" fillId="0" borderId="0" xfId="0" applyFont="1" applyFill="1" applyBorder="1"/>
    <xf numFmtId="0" fontId="0" fillId="0" borderId="9" xfId="0" applyFill="1" applyBorder="1"/>
    <xf numFmtId="0" fontId="6" fillId="0" borderId="0" xfId="0" applyFont="1"/>
    <xf numFmtId="0" fontId="0" fillId="0" borderId="9" xfId="0" applyFont="1" applyFill="1" applyBorder="1"/>
    <xf numFmtId="0" fontId="0" fillId="0" borderId="0" xfId="0" applyFont="1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</cellXfs>
  <cellStyles count="2">
    <cellStyle name="Normal" xfId="0" builtinId="0"/>
    <cellStyle name="Standaard 2 2" xfId="1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1"/>
  <sheetViews>
    <sheetView workbookViewId="0">
      <selection activeCell="C12" sqref="C12"/>
    </sheetView>
  </sheetViews>
  <sheetFormatPr defaultRowHeight="15" x14ac:dyDescent="0.25"/>
  <cols>
    <col min="2" max="2" width="21" bestFit="1" customWidth="1"/>
    <col min="3" max="3" width="19" customWidth="1"/>
  </cols>
  <sheetData>
    <row r="2" spans="2:3" x14ac:dyDescent="0.25">
      <c r="B2" s="1" t="s">
        <v>0</v>
      </c>
      <c r="C2" s="2" t="s">
        <v>1</v>
      </c>
    </row>
    <row r="3" spans="2:3" x14ac:dyDescent="0.25">
      <c r="B3" s="1" t="s">
        <v>2</v>
      </c>
      <c r="C3" s="3">
        <v>45572</v>
      </c>
    </row>
    <row r="4" spans="2:3" x14ac:dyDescent="0.25">
      <c r="B4" s="4" t="s">
        <v>3</v>
      </c>
      <c r="C4" s="4" t="s">
        <v>83</v>
      </c>
    </row>
    <row r="5" spans="2:3" x14ac:dyDescent="0.25">
      <c r="B5" s="4" t="s">
        <v>4</v>
      </c>
      <c r="C5" s="4" t="s">
        <v>5</v>
      </c>
    </row>
    <row r="6" spans="2:3" x14ac:dyDescent="0.25">
      <c r="B6" s="1" t="s">
        <v>6</v>
      </c>
      <c r="C6" s="3" t="s">
        <v>77</v>
      </c>
    </row>
    <row r="7" spans="2:3" x14ac:dyDescent="0.25">
      <c r="B7" s="1" t="s">
        <v>10</v>
      </c>
      <c r="C7" s="1" t="s">
        <v>65</v>
      </c>
    </row>
    <row r="8" spans="2:3" x14ac:dyDescent="0.25">
      <c r="B8" s="1" t="s">
        <v>7</v>
      </c>
      <c r="C8" s="3" t="s">
        <v>8</v>
      </c>
    </row>
    <row r="9" spans="2:3" x14ac:dyDescent="0.25">
      <c r="C9" s="5"/>
    </row>
    <row r="10" spans="2:3" x14ac:dyDescent="0.25">
      <c r="C10" s="5"/>
    </row>
    <row r="11" spans="2:3" x14ac:dyDescent="0.25">
      <c r="B11" s="1" t="s">
        <v>9</v>
      </c>
      <c r="C11" s="3" t="s">
        <v>89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1"/>
  <sheetViews>
    <sheetView workbookViewId="0">
      <selection activeCell="F26" sqref="F26"/>
    </sheetView>
  </sheetViews>
  <sheetFormatPr defaultRowHeight="15" x14ac:dyDescent="0.25"/>
  <cols>
    <col min="2" max="2" width="26.5703125" customWidth="1"/>
    <col min="3" max="3" width="9.7109375" bestFit="1" customWidth="1"/>
  </cols>
  <sheetData>
    <row r="2" spans="1:9" x14ac:dyDescent="0.25">
      <c r="B2" s="1" t="s">
        <v>0</v>
      </c>
      <c r="C2" s="2" t="s">
        <v>1</v>
      </c>
    </row>
    <row r="3" spans="1:9" x14ac:dyDescent="0.25">
      <c r="B3" s="1" t="s">
        <v>2</v>
      </c>
      <c r="C3" s="3">
        <v>45572</v>
      </c>
    </row>
    <row r="4" spans="1:9" x14ac:dyDescent="0.25">
      <c r="B4" s="4" t="s">
        <v>3</v>
      </c>
      <c r="C4" s="4" t="s">
        <v>83</v>
      </c>
    </row>
    <row r="5" spans="1:9" x14ac:dyDescent="0.25">
      <c r="B5" s="1" t="s">
        <v>11</v>
      </c>
      <c r="C5" s="3" t="s">
        <v>84</v>
      </c>
    </row>
    <row r="6" spans="1:9" x14ac:dyDescent="0.25">
      <c r="B6" s="1" t="s">
        <v>12</v>
      </c>
      <c r="C6" s="6" t="s">
        <v>13</v>
      </c>
    </row>
    <row r="7" spans="1:9" x14ac:dyDescent="0.25">
      <c r="B7" t="s">
        <v>15</v>
      </c>
      <c r="C7" t="s">
        <v>85</v>
      </c>
    </row>
    <row r="9" spans="1:9" x14ac:dyDescent="0.25">
      <c r="A9" s="25"/>
      <c r="B9" s="26" t="s">
        <v>16</v>
      </c>
      <c r="C9" s="25"/>
      <c r="D9" s="25"/>
      <c r="E9" s="25"/>
      <c r="F9" s="25"/>
      <c r="G9" s="25"/>
      <c r="H9" s="25"/>
      <c r="I9" s="25"/>
    </row>
    <row r="10" spans="1:9" x14ac:dyDescent="0.25">
      <c r="A10" s="25"/>
      <c r="B10" s="25" t="s">
        <v>52</v>
      </c>
      <c r="C10" s="25"/>
      <c r="D10" s="25"/>
      <c r="E10" s="25"/>
      <c r="F10" s="25"/>
      <c r="G10" s="25"/>
      <c r="H10" s="25"/>
      <c r="I10" s="25"/>
    </row>
    <row r="11" spans="1:9" x14ac:dyDescent="0.25">
      <c r="A11" s="25"/>
      <c r="B11" s="25" t="s">
        <v>17</v>
      </c>
      <c r="C11" s="25"/>
      <c r="D11" s="25"/>
      <c r="E11" s="25"/>
      <c r="F11" s="25"/>
      <c r="G11" s="25"/>
      <c r="H11" s="25"/>
      <c r="I11" s="25"/>
    </row>
    <row r="12" spans="1:9" x14ac:dyDescent="0.25">
      <c r="A12" s="25"/>
      <c r="B12" s="25" t="s">
        <v>18</v>
      </c>
      <c r="C12" s="25"/>
      <c r="D12" s="25"/>
      <c r="E12" s="25"/>
      <c r="F12" s="25"/>
      <c r="G12" s="25"/>
      <c r="H12" s="25"/>
      <c r="I12" s="25"/>
    </row>
    <row r="13" spans="1:9" x14ac:dyDescent="0.25">
      <c r="A13" s="25"/>
      <c r="B13" s="25" t="s">
        <v>19</v>
      </c>
      <c r="C13" s="25"/>
      <c r="D13" s="25"/>
      <c r="E13" s="25"/>
      <c r="F13" s="25"/>
      <c r="G13" s="25"/>
      <c r="H13" s="25"/>
      <c r="I13" s="25"/>
    </row>
    <row r="14" spans="1:9" x14ac:dyDescent="0.25">
      <c r="A14" s="25"/>
      <c r="B14" s="25" t="s">
        <v>66</v>
      </c>
      <c r="C14" s="25"/>
      <c r="D14" s="25"/>
      <c r="E14" s="25"/>
      <c r="F14" s="25"/>
      <c r="G14" s="25"/>
      <c r="H14" s="25"/>
      <c r="I14" s="25"/>
    </row>
    <row r="15" spans="1:9" x14ac:dyDescent="0.25">
      <c r="A15" s="25"/>
      <c r="B15" s="25" t="s">
        <v>67</v>
      </c>
      <c r="C15" s="25"/>
      <c r="D15" s="25"/>
      <c r="E15" s="25"/>
      <c r="F15" s="25"/>
      <c r="G15" s="25"/>
      <c r="H15" s="25"/>
      <c r="I15" s="25"/>
    </row>
    <row r="16" spans="1:9" x14ac:dyDescent="0.25">
      <c r="A16" s="25"/>
      <c r="B16" s="25" t="s">
        <v>24</v>
      </c>
      <c r="C16" s="25"/>
      <c r="D16" s="25"/>
      <c r="E16" s="25"/>
      <c r="F16" s="25"/>
      <c r="G16" s="25"/>
      <c r="H16" s="25"/>
      <c r="I16" s="25"/>
    </row>
    <row r="17" spans="1:9" x14ac:dyDescent="0.25">
      <c r="A17" s="25"/>
      <c r="B17" s="25"/>
      <c r="C17" s="25"/>
      <c r="D17" s="25"/>
      <c r="E17" s="25"/>
      <c r="F17" s="25"/>
      <c r="G17" s="25"/>
      <c r="H17" s="25"/>
      <c r="I17" s="25"/>
    </row>
    <row r="18" spans="1:9" ht="17.25" x14ac:dyDescent="0.25">
      <c r="A18" s="29" t="s">
        <v>68</v>
      </c>
      <c r="B18" s="29" t="s">
        <v>20</v>
      </c>
      <c r="C18" s="29" t="s">
        <v>86</v>
      </c>
      <c r="D18" s="29"/>
      <c r="E18" s="29"/>
      <c r="F18" s="29"/>
      <c r="G18" s="29" t="s">
        <v>69</v>
      </c>
      <c r="H18" s="29"/>
    </row>
    <row r="19" spans="1:9" ht="17.25" x14ac:dyDescent="0.25">
      <c r="A19" s="29"/>
      <c r="B19" s="29" t="s">
        <v>21</v>
      </c>
      <c r="C19" s="29" t="s">
        <v>87</v>
      </c>
      <c r="D19" s="29"/>
      <c r="E19" s="29"/>
      <c r="F19" s="29"/>
      <c r="G19" s="29"/>
      <c r="H19" s="29"/>
    </row>
    <row r="20" spans="1:9" x14ac:dyDescent="0.25">
      <c r="A20" s="29"/>
      <c r="B20" s="29" t="s">
        <v>22</v>
      </c>
      <c r="C20" s="29" t="s">
        <v>88</v>
      </c>
      <c r="D20" s="29"/>
      <c r="E20" s="29"/>
      <c r="F20" s="29"/>
      <c r="G20" s="29"/>
      <c r="H20" s="29"/>
    </row>
    <row r="21" spans="1:9" x14ac:dyDescent="0.25">
      <c r="A21" s="29"/>
      <c r="B21" s="29" t="s">
        <v>23</v>
      </c>
      <c r="C21" s="29" t="s">
        <v>25</v>
      </c>
      <c r="D21" s="29"/>
      <c r="E21" s="29"/>
      <c r="F21" s="29"/>
      <c r="G21" s="29"/>
      <c r="H21" s="29"/>
    </row>
    <row r="22" spans="1:9" x14ac:dyDescent="0.25">
      <c r="A22" s="29"/>
      <c r="B22" s="29"/>
      <c r="C22" s="29"/>
      <c r="D22" s="29"/>
      <c r="E22" s="29"/>
      <c r="F22" s="29"/>
      <c r="G22" s="29"/>
      <c r="H22" s="29"/>
    </row>
    <row r="23" spans="1:9" x14ac:dyDescent="0.25">
      <c r="A23" s="29"/>
      <c r="B23" s="29"/>
      <c r="C23" s="29"/>
      <c r="D23" s="29"/>
      <c r="E23" s="29"/>
      <c r="F23" s="29"/>
      <c r="G23" s="29"/>
      <c r="H23" s="29"/>
    </row>
    <row r="24" spans="1:9" x14ac:dyDescent="0.25">
      <c r="A24" s="29"/>
      <c r="B24" s="29"/>
      <c r="C24" s="29"/>
      <c r="D24" s="29"/>
      <c r="E24" s="29"/>
      <c r="F24" s="29"/>
      <c r="G24" s="29"/>
      <c r="H24" s="29"/>
    </row>
    <row r="25" spans="1:9" x14ac:dyDescent="0.25">
      <c r="A25" s="29"/>
      <c r="B25" s="29"/>
      <c r="C25" s="29"/>
      <c r="D25" s="29"/>
      <c r="E25" s="29"/>
      <c r="F25" s="29"/>
      <c r="G25" s="29"/>
      <c r="H25" s="29"/>
    </row>
    <row r="26" spans="1:9" x14ac:dyDescent="0.25">
      <c r="A26" s="29"/>
      <c r="B26" s="29"/>
      <c r="C26" s="29"/>
      <c r="D26" s="29"/>
      <c r="E26" s="29"/>
      <c r="F26" s="29"/>
      <c r="G26" s="29"/>
      <c r="H26" s="29"/>
    </row>
    <row r="27" spans="1:9" x14ac:dyDescent="0.25">
      <c r="A27" s="29"/>
      <c r="B27" s="29"/>
      <c r="C27" s="29"/>
      <c r="D27" s="29"/>
      <c r="E27" s="29"/>
      <c r="F27" s="29"/>
      <c r="G27" s="29"/>
      <c r="H27" s="29"/>
    </row>
    <row r="28" spans="1:9" x14ac:dyDescent="0.25">
      <c r="A28" s="29"/>
      <c r="B28" s="29"/>
      <c r="C28" s="29"/>
      <c r="D28" s="29"/>
      <c r="E28" s="29"/>
      <c r="F28" s="29"/>
      <c r="G28" s="29"/>
      <c r="H28" s="29"/>
    </row>
    <row r="29" spans="1:9" x14ac:dyDescent="0.25">
      <c r="A29" s="29"/>
      <c r="B29" s="29"/>
      <c r="C29" s="29"/>
      <c r="D29" s="29"/>
      <c r="E29" s="29"/>
      <c r="F29" s="29"/>
      <c r="G29" s="29"/>
      <c r="H29" s="29"/>
    </row>
    <row r="30" spans="1:9" x14ac:dyDescent="0.25">
      <c r="A30" s="29"/>
      <c r="B30" s="29"/>
      <c r="C30" s="29"/>
      <c r="D30" s="29"/>
      <c r="E30" s="29"/>
      <c r="F30" s="29"/>
      <c r="G30" s="29"/>
      <c r="H30" s="29"/>
    </row>
    <row r="31" spans="1:9" x14ac:dyDescent="0.25">
      <c r="A31" s="29"/>
      <c r="B31" s="29"/>
      <c r="C31" s="29"/>
      <c r="D31" s="29"/>
      <c r="E31" s="29"/>
      <c r="F31" s="29"/>
      <c r="G31" s="29"/>
      <c r="H31" s="29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2"/>
  <sheetViews>
    <sheetView tabSelected="1" workbookViewId="0">
      <selection activeCell="E14" sqref="E14"/>
    </sheetView>
  </sheetViews>
  <sheetFormatPr defaultRowHeight="15" x14ac:dyDescent="0.25"/>
  <cols>
    <col min="1" max="1" width="29" bestFit="1" customWidth="1"/>
    <col min="4" max="4" width="11.28515625" bestFit="1" customWidth="1"/>
  </cols>
  <sheetData>
    <row r="1" spans="1:28" ht="15.75" thickBot="1" x14ac:dyDescent="0.3">
      <c r="A1" s="24" t="s">
        <v>51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28" ht="15.75" thickTop="1" x14ac:dyDescent="0.25">
      <c r="A2" s="23" t="s">
        <v>0</v>
      </c>
      <c r="B2" s="23" t="s">
        <v>50</v>
      </c>
      <c r="C2" s="23" t="s">
        <v>49</v>
      </c>
      <c r="D2" s="23" t="s">
        <v>48</v>
      </c>
      <c r="E2" s="23" t="s">
        <v>47</v>
      </c>
      <c r="F2" s="23" t="s">
        <v>46</v>
      </c>
      <c r="G2" s="23" t="s">
        <v>45</v>
      </c>
      <c r="H2" s="23" t="s">
        <v>44</v>
      </c>
      <c r="I2" s="23"/>
      <c r="J2" s="23" t="s">
        <v>43</v>
      </c>
      <c r="K2" s="23" t="s">
        <v>42</v>
      </c>
      <c r="L2" s="23" t="s">
        <v>41</v>
      </c>
      <c r="M2" s="23" t="s">
        <v>40</v>
      </c>
      <c r="N2" s="23" t="s">
        <v>39</v>
      </c>
      <c r="O2" s="23" t="s">
        <v>38</v>
      </c>
    </row>
    <row r="3" spans="1:28" x14ac:dyDescent="0.25">
      <c r="A3" s="11" t="s">
        <v>62</v>
      </c>
      <c r="B3" s="11">
        <v>402266</v>
      </c>
      <c r="C3" s="11"/>
      <c r="D3" s="11">
        <v>251150</v>
      </c>
      <c r="E3" s="11">
        <v>10208925</v>
      </c>
      <c r="F3" s="19"/>
      <c r="G3" s="11"/>
      <c r="H3" s="11">
        <f t="shared" ref="H3:H13" si="0">SUM(B3:G3)</f>
        <v>10862341</v>
      </c>
      <c r="I3" s="11"/>
      <c r="J3" s="18">
        <f t="shared" ref="J3:J12" si="1">(B3/H3)*100</f>
        <v>3.7033085225367164</v>
      </c>
      <c r="K3" s="18">
        <f t="shared" ref="K3:K12" si="2">(C3/H3)*100</f>
        <v>0</v>
      </c>
      <c r="L3" s="18">
        <f t="shared" ref="L3:L12" si="3">(D3/H3)*100</f>
        <v>2.3121166974964238</v>
      </c>
      <c r="M3" s="18">
        <f t="shared" ref="M3:M12" si="4">(E3/H3)*100</f>
        <v>93.984574779966863</v>
      </c>
      <c r="N3" s="18">
        <f t="shared" ref="N3:N12" si="5">(F3/H3)*100</f>
        <v>0</v>
      </c>
      <c r="O3" s="18">
        <f t="shared" ref="O3:O12" si="6">(G3/H3)*100</f>
        <v>0</v>
      </c>
    </row>
    <row r="4" spans="1:28" x14ac:dyDescent="0.25">
      <c r="A4" s="20" t="s">
        <v>61</v>
      </c>
      <c r="B4" s="20">
        <f>147281+257653</f>
        <v>404934</v>
      </c>
      <c r="C4" s="20"/>
      <c r="D4" s="20"/>
      <c r="E4" s="20">
        <v>10920860</v>
      </c>
      <c r="F4" s="22"/>
      <c r="G4" s="20"/>
      <c r="H4" s="11">
        <f t="shared" si="0"/>
        <v>11325794</v>
      </c>
      <c r="I4" s="20"/>
      <c r="J4" s="18">
        <f t="shared" si="1"/>
        <v>3.5753254915284529</v>
      </c>
      <c r="K4" s="18">
        <f t="shared" si="2"/>
        <v>0</v>
      </c>
      <c r="L4" s="18">
        <f t="shared" si="3"/>
        <v>0</v>
      </c>
      <c r="M4" s="18">
        <f t="shared" si="4"/>
        <v>96.424674508471554</v>
      </c>
      <c r="N4" s="18">
        <f t="shared" si="5"/>
        <v>0</v>
      </c>
      <c r="O4" s="18">
        <f t="shared" si="6"/>
        <v>0</v>
      </c>
    </row>
    <row r="5" spans="1:28" s="17" customFormat="1" x14ac:dyDescent="0.25">
      <c r="A5" s="19" t="s">
        <v>57</v>
      </c>
      <c r="B5" s="19">
        <v>304199</v>
      </c>
      <c r="C5" s="19">
        <v>3389458</v>
      </c>
      <c r="D5" s="19"/>
      <c r="E5" s="19">
        <v>5308199</v>
      </c>
      <c r="F5" s="19"/>
      <c r="G5" s="19"/>
      <c r="H5" s="19">
        <f t="shared" si="0"/>
        <v>9001856</v>
      </c>
      <c r="I5" s="19"/>
      <c r="J5" s="21">
        <f t="shared" si="1"/>
        <v>3.3792920037823313</v>
      </c>
      <c r="K5" s="21">
        <f t="shared" si="2"/>
        <v>37.65287958394358</v>
      </c>
      <c r="L5" s="21">
        <f t="shared" si="3"/>
        <v>0</v>
      </c>
      <c r="M5" s="21">
        <f t="shared" si="4"/>
        <v>58.967828412274095</v>
      </c>
      <c r="N5" s="21">
        <f t="shared" si="5"/>
        <v>0</v>
      </c>
      <c r="O5" s="21">
        <f t="shared" si="6"/>
        <v>0</v>
      </c>
    </row>
    <row r="6" spans="1:28" s="17" customFormat="1" x14ac:dyDescent="0.25">
      <c r="A6" s="19" t="s">
        <v>58</v>
      </c>
      <c r="B6" s="19">
        <v>613856</v>
      </c>
      <c r="C6" s="19">
        <v>3907871</v>
      </c>
      <c r="D6" s="19">
        <f>214727+459674</f>
        <v>674401</v>
      </c>
      <c r="E6" s="19">
        <v>5673866</v>
      </c>
      <c r="F6" s="19"/>
      <c r="G6" s="19"/>
      <c r="H6" s="19">
        <f t="shared" si="0"/>
        <v>10869994</v>
      </c>
      <c r="I6" s="19"/>
      <c r="J6" s="21">
        <f t="shared" si="1"/>
        <v>5.6472524271862525</v>
      </c>
      <c r="K6" s="21">
        <f t="shared" si="2"/>
        <v>35.950995005149039</v>
      </c>
      <c r="L6" s="21">
        <f t="shared" si="3"/>
        <v>6.2042444549647406</v>
      </c>
      <c r="M6" s="21">
        <f t="shared" si="4"/>
        <v>52.197508112699978</v>
      </c>
      <c r="N6" s="21">
        <f t="shared" si="5"/>
        <v>0</v>
      </c>
      <c r="O6" s="21">
        <f t="shared" si="6"/>
        <v>0</v>
      </c>
    </row>
    <row r="7" spans="1:28" s="17" customFormat="1" x14ac:dyDescent="0.25">
      <c r="A7" s="19" t="s">
        <v>59</v>
      </c>
      <c r="B7" s="19">
        <f>284187+207349</f>
        <v>491536</v>
      </c>
      <c r="C7" s="19">
        <f>189817+339022</f>
        <v>528839</v>
      </c>
      <c r="D7" s="19"/>
      <c r="E7" s="19">
        <v>8257762</v>
      </c>
      <c r="F7" s="19"/>
      <c r="G7" s="19"/>
      <c r="H7" s="19">
        <f t="shared" si="0"/>
        <v>9278137</v>
      </c>
      <c r="I7" s="19"/>
      <c r="J7" s="21">
        <f t="shared" si="1"/>
        <v>5.2977876916454241</v>
      </c>
      <c r="K7" s="21">
        <f t="shared" si="2"/>
        <v>5.6998403882158666</v>
      </c>
      <c r="L7" s="21">
        <f t="shared" si="3"/>
        <v>0</v>
      </c>
      <c r="M7" s="21">
        <f t="shared" si="4"/>
        <v>89.002371920138714</v>
      </c>
      <c r="N7" s="21">
        <f t="shared" si="5"/>
        <v>0</v>
      </c>
      <c r="O7" s="21">
        <f t="shared" si="6"/>
        <v>0</v>
      </c>
    </row>
    <row r="8" spans="1:28" s="17" customFormat="1" x14ac:dyDescent="0.25">
      <c r="A8" s="19" t="s">
        <v>60</v>
      </c>
      <c r="B8" s="19">
        <v>298377</v>
      </c>
      <c r="C8" s="19"/>
      <c r="D8" s="19"/>
      <c r="E8" s="31">
        <v>8365830</v>
      </c>
      <c r="F8" s="19"/>
      <c r="G8" s="19"/>
      <c r="H8" s="19">
        <f t="shared" si="0"/>
        <v>8664207</v>
      </c>
      <c r="I8" s="19"/>
      <c r="J8" s="21">
        <f t="shared" si="1"/>
        <v>3.4437889122455179</v>
      </c>
      <c r="K8" s="21">
        <f t="shared" si="2"/>
        <v>0</v>
      </c>
      <c r="L8" s="21">
        <f t="shared" si="3"/>
        <v>0</v>
      </c>
      <c r="M8" s="21">
        <f t="shared" si="4"/>
        <v>96.556211087754491</v>
      </c>
      <c r="N8" s="21">
        <f t="shared" si="5"/>
        <v>0</v>
      </c>
      <c r="O8" s="21">
        <f t="shared" si="6"/>
        <v>0</v>
      </c>
      <c r="AB8" s="17" t="e">
        <f>'Conversion Deio3'!M8\</f>
        <v>#NAME?</v>
      </c>
    </row>
    <row r="9" spans="1:28" s="17" customFormat="1" x14ac:dyDescent="0.25">
      <c r="A9" s="19" t="s">
        <v>81</v>
      </c>
      <c r="B9" s="19">
        <f>154500+289768</f>
        <v>444268</v>
      </c>
      <c r="C9" s="19">
        <v>3098596</v>
      </c>
      <c r="D9" s="19">
        <v>693148</v>
      </c>
      <c r="E9" s="19">
        <v>5104366</v>
      </c>
      <c r="F9" s="19"/>
      <c r="G9" s="19"/>
      <c r="H9" s="19">
        <f t="shared" si="0"/>
        <v>9340378</v>
      </c>
      <c r="I9" s="19"/>
      <c r="J9" s="21">
        <f t="shared" si="1"/>
        <v>4.7564242046735146</v>
      </c>
      <c r="K9" s="21">
        <f t="shared" si="2"/>
        <v>33.174203442301796</v>
      </c>
      <c r="L9" s="21">
        <f t="shared" si="3"/>
        <v>7.4209844612284428</v>
      </c>
      <c r="M9" s="21">
        <f t="shared" si="4"/>
        <v>54.648387891796247</v>
      </c>
      <c r="N9" s="21">
        <f t="shared" si="5"/>
        <v>0</v>
      </c>
      <c r="O9" s="21">
        <f t="shared" si="6"/>
        <v>0</v>
      </c>
    </row>
    <row r="10" spans="1:28" s="17" customFormat="1" x14ac:dyDescent="0.25">
      <c r="A10" s="19" t="s">
        <v>82</v>
      </c>
      <c r="B10" s="19">
        <v>512459</v>
      </c>
      <c r="C10" s="19">
        <v>3276839</v>
      </c>
      <c r="D10" s="27"/>
      <c r="E10" s="31">
        <v>5261464</v>
      </c>
      <c r="F10" s="19"/>
      <c r="G10" s="19"/>
      <c r="H10" s="19">
        <f t="shared" si="0"/>
        <v>9050762</v>
      </c>
      <c r="I10" s="19"/>
      <c r="J10" s="21">
        <f t="shared" si="1"/>
        <v>5.662053648079576</v>
      </c>
      <c r="K10" s="21">
        <f t="shared" si="2"/>
        <v>36.205117314984086</v>
      </c>
      <c r="L10" s="21">
        <f t="shared" si="3"/>
        <v>0</v>
      </c>
      <c r="M10" s="21">
        <f t="shared" si="4"/>
        <v>58.132829036936343</v>
      </c>
      <c r="N10" s="21">
        <f t="shared" si="5"/>
        <v>0</v>
      </c>
      <c r="O10" s="21">
        <f t="shared" si="6"/>
        <v>0</v>
      </c>
    </row>
    <row r="11" spans="1:28" s="17" customFormat="1" x14ac:dyDescent="0.25">
      <c r="A11" s="19" t="s">
        <v>71</v>
      </c>
      <c r="B11" s="19">
        <v>429374</v>
      </c>
      <c r="C11" s="19">
        <v>4276583</v>
      </c>
      <c r="D11" s="19">
        <f>305443+67177+305542</f>
        <v>678162</v>
      </c>
      <c r="E11" s="31">
        <v>5589960</v>
      </c>
      <c r="F11" s="19"/>
      <c r="G11" s="19"/>
      <c r="H11" s="19">
        <f t="shared" si="0"/>
        <v>10974079</v>
      </c>
      <c r="I11" s="19"/>
      <c r="J11" s="21">
        <f t="shared" si="1"/>
        <v>3.9126199109738504</v>
      </c>
      <c r="K11" s="21">
        <f t="shared" si="2"/>
        <v>38.969857971680355</v>
      </c>
      <c r="L11" s="21">
        <f t="shared" si="3"/>
        <v>6.1796712052100222</v>
      </c>
      <c r="M11" s="21">
        <f t="shared" si="4"/>
        <v>50.937850912135772</v>
      </c>
      <c r="N11" s="21">
        <f t="shared" si="5"/>
        <v>0</v>
      </c>
      <c r="O11" s="21">
        <f t="shared" si="6"/>
        <v>0</v>
      </c>
    </row>
    <row r="12" spans="1:28" s="17" customFormat="1" x14ac:dyDescent="0.25">
      <c r="A12" s="19" t="s">
        <v>72</v>
      </c>
      <c r="B12" s="19">
        <f>220377+276879</f>
        <v>497256</v>
      </c>
      <c r="C12" s="19">
        <v>4154890</v>
      </c>
      <c r="D12" s="19">
        <v>396648</v>
      </c>
      <c r="E12" s="19">
        <v>4650802</v>
      </c>
      <c r="F12" s="19"/>
      <c r="G12" s="19"/>
      <c r="H12" s="19">
        <f t="shared" si="0"/>
        <v>9699596</v>
      </c>
      <c r="I12" s="19"/>
      <c r="J12" s="21">
        <f t="shared" si="1"/>
        <v>5.1265640342133834</v>
      </c>
      <c r="K12" s="21">
        <f t="shared" si="2"/>
        <v>42.835701610665019</v>
      </c>
      <c r="L12" s="21">
        <f t="shared" si="3"/>
        <v>4.0893249574518364</v>
      </c>
      <c r="M12" s="21">
        <f t="shared" si="4"/>
        <v>47.948409397669764</v>
      </c>
      <c r="N12" s="21">
        <f t="shared" si="5"/>
        <v>0</v>
      </c>
      <c r="O12" s="21">
        <f t="shared" si="6"/>
        <v>0</v>
      </c>
    </row>
    <row r="13" spans="1:28" x14ac:dyDescent="0.25">
      <c r="A13" s="19" t="s">
        <v>73</v>
      </c>
      <c r="B13" s="19">
        <v>310006</v>
      </c>
      <c r="C13" s="19">
        <v>2584333</v>
      </c>
      <c r="D13" s="19">
        <f>144886+265196</f>
        <v>410082</v>
      </c>
      <c r="E13" s="19">
        <v>6940687</v>
      </c>
      <c r="F13" s="11"/>
      <c r="G13" s="19"/>
      <c r="H13" s="19">
        <f t="shared" si="0"/>
        <v>10245108</v>
      </c>
      <c r="I13" s="11"/>
      <c r="J13" s="18">
        <f t="shared" ref="J13:J16" si="7">(B13/H13)*100</f>
        <v>3.0258929432466695</v>
      </c>
      <c r="K13" s="18">
        <f t="shared" ref="K13:K16" si="8">(C13/H13)*100</f>
        <v>25.225043991727564</v>
      </c>
      <c r="L13" s="18">
        <f t="shared" ref="L13:L16" si="9">(D13/H13)*100</f>
        <v>4.0027103667428401</v>
      </c>
      <c r="M13" s="18">
        <f t="shared" ref="M13:M16" si="10">(E13/H13)*100</f>
        <v>67.746352698282934</v>
      </c>
      <c r="N13" s="18">
        <f t="shared" ref="N13:N16" si="11">(F13/H13)*100</f>
        <v>0</v>
      </c>
      <c r="O13" s="18">
        <f t="shared" ref="O13:O16" si="12">(G13/H13)*100</f>
        <v>0</v>
      </c>
    </row>
    <row r="14" spans="1:28" x14ac:dyDescent="0.25">
      <c r="A14" s="19" t="s">
        <v>74</v>
      </c>
      <c r="B14" s="19">
        <f>345330+186423</f>
        <v>531753</v>
      </c>
      <c r="C14" s="19">
        <v>2169994</v>
      </c>
      <c r="D14" s="19">
        <f>147260+260140</f>
        <v>407400</v>
      </c>
      <c r="E14" s="19">
        <v>7679576</v>
      </c>
      <c r="F14" s="19"/>
      <c r="G14" s="19"/>
      <c r="H14" s="11">
        <f t="shared" ref="H14:H16" si="13">SUM(B14:G14)</f>
        <v>10788723</v>
      </c>
      <c r="I14" s="11"/>
      <c r="J14" s="18">
        <f t="shared" si="7"/>
        <v>4.9287853622713271</v>
      </c>
      <c r="K14" s="18">
        <f t="shared" si="8"/>
        <v>20.113538923930108</v>
      </c>
      <c r="L14" s="18">
        <f t="shared" si="9"/>
        <v>3.7761651680184949</v>
      </c>
      <c r="M14" s="18">
        <f t="shared" si="10"/>
        <v>71.181510545780071</v>
      </c>
      <c r="N14" s="18">
        <f t="shared" si="11"/>
        <v>0</v>
      </c>
      <c r="O14" s="18">
        <f t="shared" si="12"/>
        <v>0</v>
      </c>
    </row>
    <row r="15" spans="1:28" x14ac:dyDescent="0.25">
      <c r="A15" s="19"/>
      <c r="B15" s="19"/>
      <c r="C15" s="19"/>
      <c r="D15" s="19"/>
      <c r="E15" s="19"/>
      <c r="F15" s="11"/>
      <c r="G15" s="19"/>
      <c r="H15" s="19">
        <f t="shared" si="13"/>
        <v>0</v>
      </c>
      <c r="I15" s="11"/>
      <c r="J15" s="18" t="e">
        <f t="shared" si="7"/>
        <v>#DIV/0!</v>
      </c>
      <c r="K15" s="18" t="e">
        <f t="shared" si="8"/>
        <v>#DIV/0!</v>
      </c>
      <c r="L15" s="18" t="e">
        <f t="shared" si="9"/>
        <v>#DIV/0!</v>
      </c>
      <c r="M15" s="18" t="e">
        <f t="shared" si="10"/>
        <v>#DIV/0!</v>
      </c>
      <c r="N15" s="18" t="e">
        <f t="shared" si="11"/>
        <v>#DIV/0!</v>
      </c>
      <c r="O15" s="18" t="e">
        <f t="shared" si="12"/>
        <v>#DIV/0!</v>
      </c>
    </row>
    <row r="16" spans="1:28" x14ac:dyDescent="0.25">
      <c r="A16" s="19"/>
      <c r="B16" s="19"/>
      <c r="C16" s="19"/>
      <c r="D16" s="19"/>
      <c r="E16" s="19"/>
      <c r="F16" s="11"/>
      <c r="G16" s="19"/>
      <c r="H16" s="11">
        <f t="shared" si="13"/>
        <v>0</v>
      </c>
      <c r="I16" s="11"/>
      <c r="J16" s="18" t="e">
        <f t="shared" si="7"/>
        <v>#DIV/0!</v>
      </c>
      <c r="K16" s="18" t="e">
        <f t="shared" si="8"/>
        <v>#DIV/0!</v>
      </c>
      <c r="L16" s="18" t="e">
        <f t="shared" si="9"/>
        <v>#DIV/0!</v>
      </c>
      <c r="M16" s="18" t="e">
        <f t="shared" si="10"/>
        <v>#DIV/0!</v>
      </c>
      <c r="N16" s="18" t="e">
        <f t="shared" si="11"/>
        <v>#DIV/0!</v>
      </c>
      <c r="O16" s="18" t="e">
        <f t="shared" si="12"/>
        <v>#DIV/0!</v>
      </c>
    </row>
    <row r="17" spans="1:15" x14ac:dyDescent="0.25">
      <c r="A17" s="19"/>
      <c r="B17" s="19"/>
      <c r="C17" s="19"/>
      <c r="D17" s="19"/>
      <c r="E17" s="19"/>
      <c r="F17" s="11"/>
      <c r="G17" s="19"/>
      <c r="H17" s="19">
        <f t="shared" ref="H17:H28" si="14">SUM(B17:G17)</f>
        <v>0</v>
      </c>
      <c r="I17" s="11"/>
      <c r="J17" s="18" t="e">
        <f t="shared" ref="J17:J28" si="15">(B17/H17)*100</f>
        <v>#DIV/0!</v>
      </c>
      <c r="K17" s="18" t="e">
        <f t="shared" ref="K17:K28" si="16">(C17/H17)*100</f>
        <v>#DIV/0!</v>
      </c>
      <c r="L17" s="18" t="e">
        <f t="shared" ref="L17:L28" si="17">(D17/H17)*100</f>
        <v>#DIV/0!</v>
      </c>
      <c r="M17" s="18" t="e">
        <f t="shared" ref="M17:M28" si="18">(E17/H17)*100</f>
        <v>#DIV/0!</v>
      </c>
      <c r="N17" s="18" t="e">
        <f t="shared" ref="N17:N28" si="19">(F17/H17)*100</f>
        <v>#DIV/0!</v>
      </c>
      <c r="O17" s="18" t="e">
        <f t="shared" ref="O17:O28" si="20">(G17/H17)*100</f>
        <v>#DIV/0!</v>
      </c>
    </row>
    <row r="18" spans="1:15" x14ac:dyDescent="0.25">
      <c r="A18" s="19"/>
      <c r="B18" s="11"/>
      <c r="C18" s="19"/>
      <c r="D18" s="19"/>
      <c r="E18" s="19"/>
      <c r="F18" s="11"/>
      <c r="G18" s="19"/>
      <c r="H18" s="11">
        <f t="shared" si="14"/>
        <v>0</v>
      </c>
      <c r="I18" s="11"/>
      <c r="J18" s="18" t="e">
        <f t="shared" si="15"/>
        <v>#DIV/0!</v>
      </c>
      <c r="K18" s="18" t="e">
        <f t="shared" si="16"/>
        <v>#DIV/0!</v>
      </c>
      <c r="L18" s="18" t="e">
        <f t="shared" si="17"/>
        <v>#DIV/0!</v>
      </c>
      <c r="M18" s="18" t="e">
        <f t="shared" si="18"/>
        <v>#DIV/0!</v>
      </c>
      <c r="N18" s="18" t="e">
        <f t="shared" si="19"/>
        <v>#DIV/0!</v>
      </c>
      <c r="O18" s="18" t="e">
        <f t="shared" si="20"/>
        <v>#DIV/0!</v>
      </c>
    </row>
    <row r="19" spans="1:15" x14ac:dyDescent="0.25">
      <c r="B19" s="19"/>
      <c r="C19" s="19"/>
      <c r="D19" s="19"/>
      <c r="E19" s="19"/>
      <c r="F19" s="19"/>
      <c r="G19" s="19"/>
      <c r="H19" s="19">
        <f t="shared" si="14"/>
        <v>0</v>
      </c>
      <c r="I19" s="11"/>
      <c r="J19" s="18" t="e">
        <f t="shared" si="15"/>
        <v>#DIV/0!</v>
      </c>
      <c r="K19" s="18" t="e">
        <f t="shared" si="16"/>
        <v>#DIV/0!</v>
      </c>
      <c r="L19" s="18" t="e">
        <f t="shared" si="17"/>
        <v>#DIV/0!</v>
      </c>
      <c r="M19" s="18" t="e">
        <f t="shared" si="18"/>
        <v>#DIV/0!</v>
      </c>
      <c r="N19" s="18" t="e">
        <f t="shared" si="19"/>
        <v>#DIV/0!</v>
      </c>
      <c r="O19" s="18" t="e">
        <f t="shared" si="20"/>
        <v>#DIV/0!</v>
      </c>
    </row>
    <row r="20" spans="1:15" x14ac:dyDescent="0.25">
      <c r="B20" s="19"/>
      <c r="C20" s="11"/>
      <c r="D20" s="19"/>
      <c r="E20" s="19"/>
      <c r="F20" s="19"/>
      <c r="G20" s="19"/>
      <c r="H20" s="11">
        <f t="shared" si="14"/>
        <v>0</v>
      </c>
      <c r="I20" s="11"/>
      <c r="J20" s="18" t="e">
        <f t="shared" si="15"/>
        <v>#DIV/0!</v>
      </c>
      <c r="K20" s="18" t="e">
        <f t="shared" si="16"/>
        <v>#DIV/0!</v>
      </c>
      <c r="L20" s="18" t="e">
        <f t="shared" si="17"/>
        <v>#DIV/0!</v>
      </c>
      <c r="M20" s="18" t="e">
        <f t="shared" si="18"/>
        <v>#DIV/0!</v>
      </c>
      <c r="N20" s="18" t="e">
        <f t="shared" si="19"/>
        <v>#DIV/0!</v>
      </c>
      <c r="O20" s="18" t="e">
        <f t="shared" si="20"/>
        <v>#DIV/0!</v>
      </c>
    </row>
    <row r="21" spans="1:15" x14ac:dyDescent="0.25">
      <c r="B21" s="19"/>
      <c r="C21" s="19"/>
      <c r="D21" s="19"/>
      <c r="E21" s="19"/>
      <c r="F21" s="11"/>
      <c r="G21" s="11"/>
      <c r="H21" s="19">
        <f t="shared" si="14"/>
        <v>0</v>
      </c>
      <c r="I21" s="11"/>
      <c r="J21" s="18" t="e">
        <f t="shared" si="15"/>
        <v>#DIV/0!</v>
      </c>
      <c r="K21" s="18" t="e">
        <f t="shared" si="16"/>
        <v>#DIV/0!</v>
      </c>
      <c r="L21" s="18" t="e">
        <f t="shared" si="17"/>
        <v>#DIV/0!</v>
      </c>
      <c r="M21" s="18" t="e">
        <f t="shared" si="18"/>
        <v>#DIV/0!</v>
      </c>
      <c r="N21" s="18" t="e">
        <f t="shared" si="19"/>
        <v>#DIV/0!</v>
      </c>
      <c r="O21" s="18" t="e">
        <f t="shared" si="20"/>
        <v>#DIV/0!</v>
      </c>
    </row>
    <row r="22" spans="1:15" x14ac:dyDescent="0.25">
      <c r="B22" s="19"/>
      <c r="C22" s="19"/>
      <c r="D22" s="19"/>
      <c r="E22" s="19"/>
      <c r="F22" s="11"/>
      <c r="G22" s="11"/>
      <c r="H22" s="11">
        <f t="shared" si="14"/>
        <v>0</v>
      </c>
      <c r="I22" s="11"/>
      <c r="J22" s="18" t="e">
        <f>(B22/H22)*100</f>
        <v>#DIV/0!</v>
      </c>
      <c r="K22" s="18" t="e">
        <f>(C22/H22)*100</f>
        <v>#DIV/0!</v>
      </c>
      <c r="L22" s="18" t="e">
        <f>(D22/H22)*100</f>
        <v>#DIV/0!</v>
      </c>
      <c r="M22" s="18" t="e">
        <f>(E22/H22)*100</f>
        <v>#DIV/0!</v>
      </c>
      <c r="N22" s="18" t="e">
        <f t="shared" si="19"/>
        <v>#DIV/0!</v>
      </c>
      <c r="O22" s="18" t="e">
        <f t="shared" si="20"/>
        <v>#DIV/0!</v>
      </c>
    </row>
    <row r="23" spans="1:15" x14ac:dyDescent="0.25">
      <c r="A23" s="19"/>
      <c r="B23" s="19"/>
      <c r="C23" s="19"/>
      <c r="D23" s="19"/>
      <c r="E23" s="19"/>
      <c r="F23" s="11"/>
      <c r="G23" s="11"/>
      <c r="H23" s="19">
        <f t="shared" si="14"/>
        <v>0</v>
      </c>
      <c r="I23" s="11"/>
      <c r="J23" s="18" t="e">
        <f t="shared" si="15"/>
        <v>#DIV/0!</v>
      </c>
      <c r="K23" s="18" t="e">
        <f t="shared" si="16"/>
        <v>#DIV/0!</v>
      </c>
      <c r="L23" s="18" t="e">
        <f t="shared" si="17"/>
        <v>#DIV/0!</v>
      </c>
      <c r="M23" s="18" t="e">
        <f t="shared" si="18"/>
        <v>#DIV/0!</v>
      </c>
      <c r="N23" s="18" t="e">
        <f t="shared" si="19"/>
        <v>#DIV/0!</v>
      </c>
      <c r="O23" s="18" t="e">
        <f t="shared" si="20"/>
        <v>#DIV/0!</v>
      </c>
    </row>
    <row r="24" spans="1:15" x14ac:dyDescent="0.25">
      <c r="A24" s="19"/>
      <c r="B24" s="19"/>
      <c r="C24" s="19"/>
      <c r="D24" s="19"/>
      <c r="E24" s="19"/>
      <c r="F24" s="11"/>
      <c r="G24" s="11"/>
      <c r="H24" s="11">
        <f>SUM(B24:G24)</f>
        <v>0</v>
      </c>
      <c r="I24" s="11"/>
      <c r="J24" s="18" t="e">
        <f>(B24/H24)*100</f>
        <v>#DIV/0!</v>
      </c>
      <c r="K24" s="18" t="e">
        <f>(C24/H24)*100</f>
        <v>#DIV/0!</v>
      </c>
      <c r="L24" s="18" t="e">
        <f>(D24/H24)*100</f>
        <v>#DIV/0!</v>
      </c>
      <c r="M24" s="18" t="e">
        <f>(E24/H24)*100</f>
        <v>#DIV/0!</v>
      </c>
      <c r="N24" s="18" t="e">
        <f t="shared" si="19"/>
        <v>#DIV/0!</v>
      </c>
      <c r="O24" s="18" t="e">
        <f t="shared" si="20"/>
        <v>#DIV/0!</v>
      </c>
    </row>
    <row r="25" spans="1:15" x14ac:dyDescent="0.25">
      <c r="A25" s="19"/>
      <c r="B25" s="19"/>
      <c r="C25" s="11"/>
      <c r="D25" s="19"/>
      <c r="E25" s="19"/>
      <c r="F25" s="11"/>
      <c r="G25" s="11"/>
      <c r="H25" s="19">
        <f t="shared" si="14"/>
        <v>0</v>
      </c>
      <c r="I25" s="11"/>
      <c r="J25" s="18" t="e">
        <f t="shared" si="15"/>
        <v>#DIV/0!</v>
      </c>
      <c r="K25" s="18" t="e">
        <f t="shared" si="16"/>
        <v>#DIV/0!</v>
      </c>
      <c r="L25" s="18" t="e">
        <f t="shared" si="17"/>
        <v>#DIV/0!</v>
      </c>
      <c r="M25" s="18" t="e">
        <f t="shared" si="18"/>
        <v>#DIV/0!</v>
      </c>
      <c r="N25" s="18" t="e">
        <f t="shared" si="19"/>
        <v>#DIV/0!</v>
      </c>
      <c r="O25" s="18" t="e">
        <f t="shared" si="20"/>
        <v>#DIV/0!</v>
      </c>
    </row>
    <row r="26" spans="1:15" x14ac:dyDescent="0.25">
      <c r="A26" s="19"/>
      <c r="B26" s="19"/>
      <c r="C26" s="19"/>
      <c r="D26" s="19"/>
      <c r="E26" s="19"/>
      <c r="F26" s="11"/>
      <c r="G26" s="11"/>
      <c r="H26" s="11">
        <f t="shared" si="14"/>
        <v>0</v>
      </c>
      <c r="I26" s="11"/>
      <c r="J26" s="18" t="e">
        <f t="shared" si="15"/>
        <v>#DIV/0!</v>
      </c>
      <c r="K26" s="18" t="e">
        <f t="shared" si="16"/>
        <v>#DIV/0!</v>
      </c>
      <c r="L26" s="18" t="e">
        <f t="shared" si="17"/>
        <v>#DIV/0!</v>
      </c>
      <c r="M26" s="18" t="e">
        <f t="shared" si="18"/>
        <v>#DIV/0!</v>
      </c>
      <c r="N26" s="18" t="e">
        <f t="shared" si="19"/>
        <v>#DIV/0!</v>
      </c>
      <c r="O26" s="18" t="e">
        <f t="shared" si="20"/>
        <v>#DIV/0!</v>
      </c>
    </row>
    <row r="27" spans="1:15" x14ac:dyDescent="0.25">
      <c r="A27" s="19"/>
      <c r="B27" s="19"/>
      <c r="C27" s="11"/>
      <c r="D27" s="19"/>
      <c r="E27" s="19"/>
      <c r="F27" s="11"/>
      <c r="G27" s="11"/>
      <c r="H27" s="19">
        <f t="shared" si="14"/>
        <v>0</v>
      </c>
      <c r="I27" s="11"/>
      <c r="J27" s="18" t="e">
        <f t="shared" si="15"/>
        <v>#DIV/0!</v>
      </c>
      <c r="K27" s="18" t="e">
        <f t="shared" si="16"/>
        <v>#DIV/0!</v>
      </c>
      <c r="L27" s="18" t="e">
        <f t="shared" si="17"/>
        <v>#DIV/0!</v>
      </c>
      <c r="M27" s="18" t="e">
        <f t="shared" si="18"/>
        <v>#DIV/0!</v>
      </c>
      <c r="N27" s="18" t="e">
        <f t="shared" si="19"/>
        <v>#DIV/0!</v>
      </c>
      <c r="O27" s="18" t="e">
        <f t="shared" si="20"/>
        <v>#DIV/0!</v>
      </c>
    </row>
    <row r="28" spans="1:15" x14ac:dyDescent="0.25">
      <c r="A28" s="19"/>
      <c r="B28" s="19"/>
      <c r="C28" s="11"/>
      <c r="D28" s="19"/>
      <c r="E28" s="19"/>
      <c r="F28" s="11"/>
      <c r="G28" s="11"/>
      <c r="H28" s="11">
        <f t="shared" si="14"/>
        <v>0</v>
      </c>
      <c r="I28" s="11"/>
      <c r="J28" s="18" t="e">
        <f t="shared" si="15"/>
        <v>#DIV/0!</v>
      </c>
      <c r="K28" s="18" t="e">
        <f t="shared" si="16"/>
        <v>#DIV/0!</v>
      </c>
      <c r="L28" s="18" t="e">
        <f t="shared" si="17"/>
        <v>#DIV/0!</v>
      </c>
      <c r="M28" s="18" t="e">
        <f t="shared" si="18"/>
        <v>#DIV/0!</v>
      </c>
      <c r="N28" s="18" t="e">
        <f t="shared" si="19"/>
        <v>#DIV/0!</v>
      </c>
      <c r="O28" s="18" t="e">
        <f t="shared" si="20"/>
        <v>#DIV/0!</v>
      </c>
    </row>
    <row r="29" spans="1:15" x14ac:dyDescent="0.25">
      <c r="A29" s="19"/>
      <c r="H29" s="11">
        <f t="shared" ref="H29:H33" si="21">SUM(B29:G29)</f>
        <v>0</v>
      </c>
      <c r="I29" s="11"/>
      <c r="J29" s="18" t="e">
        <f t="shared" ref="J29:J33" si="22">(B29/H29)*100</f>
        <v>#DIV/0!</v>
      </c>
      <c r="K29" s="18" t="e">
        <f t="shared" ref="K29:K33" si="23">(C29/H29)*100</f>
        <v>#DIV/0!</v>
      </c>
      <c r="L29" s="18" t="e">
        <f t="shared" ref="L29:L33" si="24">(D29/H29)*100</f>
        <v>#DIV/0!</v>
      </c>
      <c r="M29" s="18" t="e">
        <f t="shared" ref="M29:M33" si="25">(E29/H29)*100</f>
        <v>#DIV/0!</v>
      </c>
      <c r="N29" s="18" t="e">
        <f t="shared" ref="N29:N33" si="26">(F29/H29)*100</f>
        <v>#DIV/0!</v>
      </c>
      <c r="O29" s="18" t="e">
        <f t="shared" ref="O29:O33" si="27">(G29/H29)*100</f>
        <v>#DIV/0!</v>
      </c>
    </row>
    <row r="30" spans="1:15" x14ac:dyDescent="0.25">
      <c r="A30" s="19"/>
      <c r="H30" s="11">
        <f t="shared" si="21"/>
        <v>0</v>
      </c>
      <c r="I30" s="11"/>
      <c r="J30" s="18" t="e">
        <f t="shared" si="22"/>
        <v>#DIV/0!</v>
      </c>
      <c r="K30" s="18" t="e">
        <f t="shared" si="23"/>
        <v>#DIV/0!</v>
      </c>
      <c r="L30" s="18" t="e">
        <f t="shared" si="24"/>
        <v>#DIV/0!</v>
      </c>
      <c r="M30" s="18" t="e">
        <f t="shared" si="25"/>
        <v>#DIV/0!</v>
      </c>
      <c r="N30" s="18" t="e">
        <f t="shared" si="26"/>
        <v>#DIV/0!</v>
      </c>
      <c r="O30" s="18" t="e">
        <f t="shared" si="27"/>
        <v>#DIV/0!</v>
      </c>
    </row>
    <row r="31" spans="1:15" x14ac:dyDescent="0.25">
      <c r="A31" s="19"/>
      <c r="H31" s="11">
        <f t="shared" si="21"/>
        <v>0</v>
      </c>
      <c r="I31" s="11"/>
      <c r="J31" s="18" t="e">
        <f t="shared" si="22"/>
        <v>#DIV/0!</v>
      </c>
      <c r="K31" s="18" t="e">
        <f t="shared" si="23"/>
        <v>#DIV/0!</v>
      </c>
      <c r="L31" s="18" t="e">
        <f t="shared" si="24"/>
        <v>#DIV/0!</v>
      </c>
      <c r="M31" s="18" t="e">
        <f t="shared" si="25"/>
        <v>#DIV/0!</v>
      </c>
      <c r="N31" s="18" t="e">
        <f t="shared" si="26"/>
        <v>#DIV/0!</v>
      </c>
      <c r="O31" s="18" t="e">
        <f t="shared" si="27"/>
        <v>#DIV/0!</v>
      </c>
    </row>
    <row r="32" spans="1:15" x14ac:dyDescent="0.25">
      <c r="A32" s="19"/>
      <c r="H32" s="11">
        <f t="shared" si="21"/>
        <v>0</v>
      </c>
      <c r="I32" s="11"/>
      <c r="J32" s="18" t="e">
        <f t="shared" si="22"/>
        <v>#DIV/0!</v>
      </c>
      <c r="K32" s="18" t="e">
        <f t="shared" si="23"/>
        <v>#DIV/0!</v>
      </c>
      <c r="L32" s="18" t="e">
        <f t="shared" si="24"/>
        <v>#DIV/0!</v>
      </c>
      <c r="M32" s="18" t="e">
        <f t="shared" si="25"/>
        <v>#DIV/0!</v>
      </c>
      <c r="N32" s="18" t="e">
        <f t="shared" si="26"/>
        <v>#DIV/0!</v>
      </c>
      <c r="O32" s="18" t="e">
        <f t="shared" si="27"/>
        <v>#DIV/0!</v>
      </c>
    </row>
    <row r="33" spans="1:15" x14ac:dyDescent="0.25">
      <c r="H33" s="11">
        <f t="shared" si="21"/>
        <v>0</v>
      </c>
      <c r="I33" s="11"/>
      <c r="J33" s="18" t="e">
        <f t="shared" si="22"/>
        <v>#DIV/0!</v>
      </c>
      <c r="K33" s="18" t="e">
        <f t="shared" si="23"/>
        <v>#DIV/0!</v>
      </c>
      <c r="L33" s="18" t="e">
        <f t="shared" si="24"/>
        <v>#DIV/0!</v>
      </c>
      <c r="M33" s="18" t="e">
        <f t="shared" si="25"/>
        <v>#DIV/0!</v>
      </c>
      <c r="N33" s="18" t="e">
        <f t="shared" si="26"/>
        <v>#DIV/0!</v>
      </c>
      <c r="O33" s="18" t="e">
        <f t="shared" si="27"/>
        <v>#DIV/0!</v>
      </c>
    </row>
    <row r="34" spans="1:15" x14ac:dyDescent="0.25">
      <c r="H34" s="11">
        <f t="shared" ref="H34:H42" si="28">SUM(B34:G34)</f>
        <v>0</v>
      </c>
      <c r="I34" s="11"/>
      <c r="J34" s="18" t="e">
        <f t="shared" ref="J34:J42" si="29">(B34/H34)*100</f>
        <v>#DIV/0!</v>
      </c>
      <c r="K34" s="18" t="e">
        <f t="shared" ref="K34:K42" si="30">(C34/H34)*100</f>
        <v>#DIV/0!</v>
      </c>
      <c r="L34" s="18" t="e">
        <f t="shared" ref="L34:L42" si="31">(D34/H34)*100</f>
        <v>#DIV/0!</v>
      </c>
      <c r="M34" s="18" t="e">
        <f t="shared" ref="M34:M42" si="32">(E34/H34)*100</f>
        <v>#DIV/0!</v>
      </c>
      <c r="N34" s="18" t="e">
        <f t="shared" ref="N34:N42" si="33">(F34/H34)*100</f>
        <v>#DIV/0!</v>
      </c>
      <c r="O34" s="18" t="e">
        <f t="shared" ref="O34:O42" si="34">(G34/H34)*100</f>
        <v>#DIV/0!</v>
      </c>
    </row>
    <row r="35" spans="1:15" x14ac:dyDescent="0.25">
      <c r="H35" s="11">
        <f t="shared" si="28"/>
        <v>0</v>
      </c>
      <c r="I35" s="11"/>
      <c r="J35" s="18" t="e">
        <f t="shared" si="29"/>
        <v>#DIV/0!</v>
      </c>
      <c r="K35" s="18" t="e">
        <f t="shared" si="30"/>
        <v>#DIV/0!</v>
      </c>
      <c r="L35" s="18" t="e">
        <f t="shared" si="31"/>
        <v>#DIV/0!</v>
      </c>
      <c r="M35" s="18" t="e">
        <f t="shared" si="32"/>
        <v>#DIV/0!</v>
      </c>
      <c r="N35" s="18" t="e">
        <f t="shared" si="33"/>
        <v>#DIV/0!</v>
      </c>
      <c r="O35" s="18" t="e">
        <f t="shared" si="34"/>
        <v>#DIV/0!</v>
      </c>
    </row>
    <row r="36" spans="1:15" x14ac:dyDescent="0.25">
      <c r="H36" s="11">
        <f t="shared" si="28"/>
        <v>0</v>
      </c>
      <c r="I36" s="11"/>
      <c r="J36" s="18" t="e">
        <f t="shared" si="29"/>
        <v>#DIV/0!</v>
      </c>
      <c r="K36" s="18" t="e">
        <f t="shared" si="30"/>
        <v>#DIV/0!</v>
      </c>
      <c r="L36" s="18" t="e">
        <f t="shared" si="31"/>
        <v>#DIV/0!</v>
      </c>
      <c r="M36" s="18" t="e">
        <f t="shared" si="32"/>
        <v>#DIV/0!</v>
      </c>
      <c r="N36" s="18" t="e">
        <f t="shared" si="33"/>
        <v>#DIV/0!</v>
      </c>
      <c r="O36" s="18" t="e">
        <f t="shared" si="34"/>
        <v>#DIV/0!</v>
      </c>
    </row>
    <row r="37" spans="1:15" x14ac:dyDescent="0.25">
      <c r="A37" s="19"/>
      <c r="H37" s="11">
        <f t="shared" si="28"/>
        <v>0</v>
      </c>
      <c r="I37" s="11"/>
      <c r="J37" s="18" t="e">
        <f t="shared" si="29"/>
        <v>#DIV/0!</v>
      </c>
      <c r="K37" s="18" t="e">
        <f t="shared" si="30"/>
        <v>#DIV/0!</v>
      </c>
      <c r="L37" s="18" t="e">
        <f t="shared" si="31"/>
        <v>#DIV/0!</v>
      </c>
      <c r="M37" s="18" t="e">
        <f t="shared" si="32"/>
        <v>#DIV/0!</v>
      </c>
      <c r="N37" s="18" t="e">
        <f t="shared" si="33"/>
        <v>#DIV/0!</v>
      </c>
      <c r="O37" s="18" t="e">
        <f t="shared" si="34"/>
        <v>#DIV/0!</v>
      </c>
    </row>
    <row r="38" spans="1:15" x14ac:dyDescent="0.25">
      <c r="A38" s="19"/>
      <c r="H38" s="11">
        <f t="shared" si="28"/>
        <v>0</v>
      </c>
      <c r="I38" s="11"/>
      <c r="J38" s="18" t="e">
        <f t="shared" si="29"/>
        <v>#DIV/0!</v>
      </c>
      <c r="K38" s="18" t="e">
        <f t="shared" si="30"/>
        <v>#DIV/0!</v>
      </c>
      <c r="L38" s="18" t="e">
        <f t="shared" si="31"/>
        <v>#DIV/0!</v>
      </c>
      <c r="M38" s="18" t="e">
        <f t="shared" si="32"/>
        <v>#DIV/0!</v>
      </c>
      <c r="N38" s="18" t="e">
        <f t="shared" si="33"/>
        <v>#DIV/0!</v>
      </c>
      <c r="O38" s="18" t="e">
        <f t="shared" si="34"/>
        <v>#DIV/0!</v>
      </c>
    </row>
    <row r="39" spans="1:15" x14ac:dyDescent="0.25">
      <c r="A39" s="19"/>
      <c r="H39" s="11">
        <f t="shared" si="28"/>
        <v>0</v>
      </c>
      <c r="I39" s="11"/>
      <c r="J39" s="18" t="e">
        <f t="shared" si="29"/>
        <v>#DIV/0!</v>
      </c>
      <c r="K39" s="18" t="e">
        <f t="shared" si="30"/>
        <v>#DIV/0!</v>
      </c>
      <c r="L39" s="18" t="e">
        <f t="shared" si="31"/>
        <v>#DIV/0!</v>
      </c>
      <c r="M39" s="18" t="e">
        <f t="shared" si="32"/>
        <v>#DIV/0!</v>
      </c>
      <c r="N39" s="18" t="e">
        <f t="shared" si="33"/>
        <v>#DIV/0!</v>
      </c>
      <c r="O39" s="18" t="e">
        <f t="shared" si="34"/>
        <v>#DIV/0!</v>
      </c>
    </row>
    <row r="40" spans="1:15" x14ac:dyDescent="0.25">
      <c r="A40" s="19"/>
      <c r="H40" s="11">
        <f t="shared" si="28"/>
        <v>0</v>
      </c>
      <c r="I40" s="11"/>
      <c r="J40" s="18" t="e">
        <f t="shared" si="29"/>
        <v>#DIV/0!</v>
      </c>
      <c r="K40" s="18" t="e">
        <f t="shared" si="30"/>
        <v>#DIV/0!</v>
      </c>
      <c r="L40" s="18" t="e">
        <f t="shared" si="31"/>
        <v>#DIV/0!</v>
      </c>
      <c r="M40" s="18" t="e">
        <f t="shared" si="32"/>
        <v>#DIV/0!</v>
      </c>
      <c r="N40" s="18" t="e">
        <f t="shared" si="33"/>
        <v>#DIV/0!</v>
      </c>
      <c r="O40" s="18" t="e">
        <f t="shared" si="34"/>
        <v>#DIV/0!</v>
      </c>
    </row>
    <row r="41" spans="1:15" x14ac:dyDescent="0.25">
      <c r="A41" s="19"/>
      <c r="H41" s="11">
        <f t="shared" si="28"/>
        <v>0</v>
      </c>
      <c r="I41" s="11"/>
      <c r="J41" s="18" t="e">
        <f t="shared" si="29"/>
        <v>#DIV/0!</v>
      </c>
      <c r="K41" s="18" t="e">
        <f t="shared" si="30"/>
        <v>#DIV/0!</v>
      </c>
      <c r="L41" s="18" t="e">
        <f t="shared" si="31"/>
        <v>#DIV/0!</v>
      </c>
      <c r="M41" s="18" t="e">
        <f t="shared" si="32"/>
        <v>#DIV/0!</v>
      </c>
      <c r="N41" s="18" t="e">
        <f t="shared" si="33"/>
        <v>#DIV/0!</v>
      </c>
      <c r="O41" s="18" t="e">
        <f t="shared" si="34"/>
        <v>#DIV/0!</v>
      </c>
    </row>
    <row r="42" spans="1:15" x14ac:dyDescent="0.25">
      <c r="A42" s="19"/>
      <c r="H42" s="11">
        <f t="shared" si="28"/>
        <v>0</v>
      </c>
      <c r="I42" s="11"/>
      <c r="J42" s="18" t="e">
        <f t="shared" si="29"/>
        <v>#DIV/0!</v>
      </c>
      <c r="K42" s="18" t="e">
        <f t="shared" si="30"/>
        <v>#DIV/0!</v>
      </c>
      <c r="L42" s="18" t="e">
        <f t="shared" si="31"/>
        <v>#DIV/0!</v>
      </c>
      <c r="M42" s="18" t="e">
        <f t="shared" si="32"/>
        <v>#DIV/0!</v>
      </c>
      <c r="N42" s="18" t="e">
        <f t="shared" si="33"/>
        <v>#DIV/0!</v>
      </c>
      <c r="O42" s="18" t="e">
        <f t="shared" si="34"/>
        <v>#DIV/0!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I29"/>
  <sheetViews>
    <sheetView workbookViewId="0">
      <selection activeCell="J20" sqref="J20"/>
    </sheetView>
  </sheetViews>
  <sheetFormatPr defaultRowHeight="15" x14ac:dyDescent="0.25"/>
  <cols>
    <col min="1" max="1" width="11.7109375" bestFit="1" customWidth="1"/>
    <col min="2" max="2" width="20.5703125" bestFit="1" customWidth="1"/>
    <col min="3" max="3" width="18.7109375" bestFit="1" customWidth="1"/>
    <col min="4" max="4" width="16.42578125" customWidth="1"/>
    <col min="5" max="5" width="11.5703125" customWidth="1"/>
    <col min="6" max="6" width="20.5703125" bestFit="1" customWidth="1"/>
  </cols>
  <sheetData>
    <row r="3" spans="1:7" x14ac:dyDescent="0.25">
      <c r="B3" s="1" t="s">
        <v>0</v>
      </c>
      <c r="C3" s="2" t="s">
        <v>1</v>
      </c>
    </row>
    <row r="4" spans="1:7" x14ac:dyDescent="0.25">
      <c r="B4" s="1" t="s">
        <v>2</v>
      </c>
      <c r="C4" s="3">
        <v>45572</v>
      </c>
    </row>
    <row r="5" spans="1:7" x14ac:dyDescent="0.25">
      <c r="B5" s="4" t="s">
        <v>3</v>
      </c>
      <c r="C5" s="4" t="s">
        <v>68</v>
      </c>
    </row>
    <row r="6" spans="1:7" x14ac:dyDescent="0.25">
      <c r="B6" s="1" t="s">
        <v>6</v>
      </c>
      <c r="C6" s="3" t="s">
        <v>75</v>
      </c>
    </row>
    <row r="7" spans="1:7" x14ac:dyDescent="0.25">
      <c r="B7" s="1" t="s">
        <v>26</v>
      </c>
      <c r="C7" t="s">
        <v>64</v>
      </c>
    </row>
    <row r="8" spans="1:7" x14ac:dyDescent="0.25">
      <c r="B8" s="1" t="s">
        <v>27</v>
      </c>
      <c r="C8" t="s">
        <v>65</v>
      </c>
    </row>
    <row r="9" spans="1:7" x14ac:dyDescent="0.25">
      <c r="B9" s="1" t="s">
        <v>28</v>
      </c>
      <c r="C9" t="s">
        <v>76</v>
      </c>
    </row>
    <row r="10" spans="1:7" x14ac:dyDescent="0.25">
      <c r="B10" s="1" t="s">
        <v>29</v>
      </c>
      <c r="C10" t="s">
        <v>30</v>
      </c>
      <c r="F10" s="11"/>
      <c r="G10" s="11"/>
    </row>
    <row r="11" spans="1:7" x14ac:dyDescent="0.25">
      <c r="B11" s="1" t="s">
        <v>36</v>
      </c>
      <c r="C11">
        <v>2000000</v>
      </c>
      <c r="F11" s="11"/>
      <c r="G11" s="11"/>
    </row>
    <row r="12" spans="1:7" ht="15.75" thickBot="1" x14ac:dyDescent="0.3"/>
    <row r="13" spans="1:7" x14ac:dyDescent="0.25">
      <c r="A13" s="7"/>
      <c r="B13" s="8"/>
      <c r="C13" s="8"/>
      <c r="D13" s="8"/>
      <c r="E13" s="8"/>
      <c r="F13" s="8"/>
      <c r="G13" s="9"/>
    </row>
    <row r="14" spans="1:7" x14ac:dyDescent="0.25">
      <c r="A14" s="10"/>
      <c r="B14" s="30" t="s">
        <v>70</v>
      </c>
      <c r="C14" s="30" t="s">
        <v>70</v>
      </c>
      <c r="D14" s="30" t="s">
        <v>63</v>
      </c>
      <c r="E14" s="30" t="s">
        <v>63</v>
      </c>
      <c r="F14" s="31"/>
      <c r="G14" s="32" t="s">
        <v>68</v>
      </c>
    </row>
    <row r="15" spans="1:7" x14ac:dyDescent="0.25">
      <c r="A15" s="10"/>
      <c r="B15" s="28" t="s">
        <v>78</v>
      </c>
      <c r="C15" s="28" t="s">
        <v>78</v>
      </c>
      <c r="D15" s="28"/>
      <c r="E15" s="28"/>
      <c r="F15" s="19"/>
      <c r="G15" s="32"/>
    </row>
    <row r="16" spans="1:7" x14ac:dyDescent="0.25">
      <c r="A16" s="10"/>
      <c r="B16" s="28" t="s">
        <v>79</v>
      </c>
      <c r="C16" s="28" t="s">
        <v>79</v>
      </c>
      <c r="D16" s="28" t="s">
        <v>80</v>
      </c>
      <c r="E16" s="28" t="s">
        <v>80</v>
      </c>
      <c r="F16" s="19"/>
      <c r="G16" s="32"/>
    </row>
    <row r="17" spans="1:9" ht="15.75" thickBot="1" x14ac:dyDescent="0.3">
      <c r="A17" s="33"/>
      <c r="B17" s="34"/>
      <c r="C17" s="34"/>
      <c r="D17" s="34"/>
      <c r="E17" s="34"/>
      <c r="F17" s="34"/>
      <c r="G17" s="35"/>
      <c r="H17" s="19"/>
      <c r="I17" s="19"/>
    </row>
    <row r="18" spans="1:9" x14ac:dyDescent="0.25">
      <c r="A18" s="19"/>
      <c r="B18" s="19"/>
      <c r="C18" s="19"/>
      <c r="D18" s="19"/>
      <c r="E18" s="19"/>
      <c r="F18" s="19"/>
      <c r="G18" s="19"/>
      <c r="H18" s="19"/>
      <c r="I18" s="19"/>
    </row>
    <row r="19" spans="1:9" ht="15.75" thickBot="1" x14ac:dyDescent="0.3">
      <c r="F19" s="19"/>
    </row>
    <row r="20" spans="1:9" x14ac:dyDescent="0.25">
      <c r="A20" t="s">
        <v>31</v>
      </c>
      <c r="B20" s="7" t="s">
        <v>54</v>
      </c>
      <c r="C20" s="8"/>
      <c r="D20" s="9"/>
    </row>
    <row r="21" spans="1:9" x14ac:dyDescent="0.25">
      <c r="B21" s="10"/>
      <c r="C21" s="11"/>
      <c r="D21" s="12"/>
    </row>
    <row r="22" spans="1:9" x14ac:dyDescent="0.25">
      <c r="B22" s="16" t="s">
        <v>14</v>
      </c>
      <c r="C22" s="11">
        <v>12</v>
      </c>
      <c r="D22" s="12" t="s">
        <v>32</v>
      </c>
    </row>
    <row r="23" spans="1:9" x14ac:dyDescent="0.25">
      <c r="B23" s="10" t="s">
        <v>34</v>
      </c>
      <c r="C23" s="11">
        <f>0.5*C22</f>
        <v>6</v>
      </c>
      <c r="D23" s="12" t="s">
        <v>33</v>
      </c>
    </row>
    <row r="24" spans="1:9" x14ac:dyDescent="0.25">
      <c r="B24" s="10" t="s">
        <v>35</v>
      </c>
      <c r="C24" s="11">
        <f>C11/C26*C22</f>
        <v>184.61538461538461</v>
      </c>
      <c r="D24" s="12" t="s">
        <v>33</v>
      </c>
    </row>
    <row r="25" spans="1:9" x14ac:dyDescent="0.25">
      <c r="B25" s="10"/>
      <c r="C25" s="11"/>
      <c r="D25" s="12"/>
    </row>
    <row r="26" spans="1:9" ht="15.75" thickBot="1" x14ac:dyDescent="0.3">
      <c r="B26" s="13" t="s">
        <v>55</v>
      </c>
      <c r="C26" s="14">
        <v>130000</v>
      </c>
      <c r="D26" s="15"/>
    </row>
    <row r="29" spans="1:9" x14ac:dyDescent="0.25">
      <c r="B29" t="s">
        <v>37</v>
      </c>
      <c r="E29" t="s">
        <v>56</v>
      </c>
      <c r="F29" t="s">
        <v>53</v>
      </c>
    </row>
  </sheetData>
  <pageMargins left="0.7" right="0.7" top="0.75" bottom="0.75" header="0.3" footer="0.3"/>
  <pageSetup paperSize="9" scale="9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DE586783-2700-4C39-BFBA-F026E6AE2620}">
  <ds:schemaRefs/>
</ds:datastoreItem>
</file>

<file path=customXml/itemProps2.xml><?xml version="1.0" encoding="utf-8"?>
<ds:datastoreItem xmlns:ds="http://schemas.openxmlformats.org/officeDocument/2006/customXml" ds:itemID="{1598018C-8F6A-4CD9-B24B-043B88BB164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Cells</vt:lpstr>
      <vt:lpstr>Conversion Deio3</vt:lpstr>
      <vt:lpstr>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N.T.O.M. Dierichs</dc:creator>
  <cp:lastModifiedBy>N.T.O.M. Dierichs</cp:lastModifiedBy>
  <cp:lastPrinted>2023-05-03T06:09:34Z</cp:lastPrinted>
  <dcterms:created xsi:type="dcterms:W3CDTF">2022-11-28T07:47:02Z</dcterms:created>
  <dcterms:modified xsi:type="dcterms:W3CDTF">2024-07-12T10:03:20Z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erasmusmc</vt:lpwstr>
  </property>
  <property fmtid="{D5CDD505-2E9C-101B-9397-08002B2CF9AE}" pid="3" name="TemplafyTemplateId">
    <vt:lpwstr>638049558581124840</vt:lpwstr>
  </property>
  <property fmtid="{D5CDD505-2E9C-101B-9397-08002B2CF9AE}" pid="4" name="TemplafyUserProfileId">
    <vt:lpwstr>637943292935123484</vt:lpwstr>
  </property>
  <property fmtid="{D5CDD505-2E9C-101B-9397-08002B2CF9AE}" pid="5" name="TemplafyFromBlank">
    <vt:bool>true</vt:bool>
  </property>
</Properties>
</file>