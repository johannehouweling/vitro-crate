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Nathalie\Experiments\2024\Metabolisme\20240327_Metabolism EDCs HC\"/>
    </mc:Choice>
  </mc:AlternateContent>
  <bookViews>
    <workbookView xWindow="37410" yWindow="810" windowWidth="31020" windowHeight="20040" activeTab="3"/>
  </bookViews>
  <sheets>
    <sheet name="Summary" sheetId="1" r:id="rId1"/>
    <sheet name="Cells" sheetId="2" r:id="rId2"/>
    <sheet name="Layout" sheetId="3" r:id="rId3"/>
    <sheet name="Conversion Deio3" sheetId="1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3" l="1"/>
  <c r="B26" i="13"/>
  <c r="B25" i="13"/>
  <c r="D20" i="13"/>
  <c r="D19" i="13"/>
  <c r="B18" i="13"/>
  <c r="B16" i="13"/>
  <c r="D15" i="13"/>
  <c r="B15" i="13"/>
  <c r="D14" i="13"/>
  <c r="B14" i="13"/>
  <c r="D13" i="13"/>
  <c r="D11" i="13"/>
  <c r="B11" i="13"/>
  <c r="C9" i="13" l="1"/>
  <c r="B9" i="13"/>
  <c r="D8" i="13"/>
  <c r="D6" i="13"/>
  <c r="D5" i="13"/>
  <c r="B5" i="13"/>
  <c r="D4" i="13"/>
  <c r="B4" i="13"/>
  <c r="D3" i="13"/>
  <c r="C29" i="3" l="1"/>
  <c r="H17" i="13" l="1"/>
  <c r="M17" i="13" s="1"/>
  <c r="H18" i="13"/>
  <c r="L18" i="13" s="1"/>
  <c r="H19" i="13"/>
  <c r="K19" i="13" s="1"/>
  <c r="H20" i="13"/>
  <c r="J20" i="13" s="1"/>
  <c r="H21" i="13"/>
  <c r="K21" i="13" s="1"/>
  <c r="H22" i="13"/>
  <c r="N22" i="13" s="1"/>
  <c r="H23" i="13"/>
  <c r="M23" i="13" s="1"/>
  <c r="H24" i="13"/>
  <c r="L24" i="13" s="1"/>
  <c r="J24" i="13"/>
  <c r="H25" i="13"/>
  <c r="K25" i="13" s="1"/>
  <c r="H26" i="13"/>
  <c r="J26" i="13" s="1"/>
  <c r="H27" i="13"/>
  <c r="J27" i="13" s="1"/>
  <c r="H28" i="13"/>
  <c r="N28" i="13" s="1"/>
  <c r="O23" i="13" l="1"/>
  <c r="L23" i="13"/>
  <c r="O24" i="13"/>
  <c r="K23" i="13"/>
  <c r="K24" i="13"/>
  <c r="J23" i="13"/>
  <c r="M28" i="13"/>
  <c r="L28" i="13"/>
  <c r="O28" i="13"/>
  <c r="K28" i="13"/>
  <c r="J28" i="13"/>
  <c r="L27" i="13"/>
  <c r="M27" i="13"/>
  <c r="K27" i="13"/>
  <c r="O27" i="13"/>
  <c r="N27" i="13"/>
  <c r="O26" i="13"/>
  <c r="O25" i="13"/>
  <c r="J25" i="13"/>
  <c r="L22" i="13"/>
  <c r="J22" i="13"/>
  <c r="O22" i="13"/>
  <c r="M22" i="13"/>
  <c r="K22" i="13"/>
  <c r="J21" i="13"/>
  <c r="O21" i="13"/>
  <c r="N21" i="13"/>
  <c r="M21" i="13"/>
  <c r="L21" i="13"/>
  <c r="O20" i="13"/>
  <c r="J19" i="13"/>
  <c r="O19" i="13"/>
  <c r="K18" i="13"/>
  <c r="O18" i="13"/>
  <c r="J18" i="13"/>
  <c r="O17" i="13"/>
  <c r="L17" i="13"/>
  <c r="K17" i="13"/>
  <c r="J17" i="13"/>
  <c r="N26" i="13"/>
  <c r="N20" i="13"/>
  <c r="M26" i="13"/>
  <c r="N25" i="13"/>
  <c r="M20" i="13"/>
  <c r="N19" i="13"/>
  <c r="L26" i="13"/>
  <c r="M25" i="13"/>
  <c r="N24" i="13"/>
  <c r="L20" i="13"/>
  <c r="M19" i="13"/>
  <c r="N18" i="13"/>
  <c r="K26" i="13"/>
  <c r="L25" i="13"/>
  <c r="M24" i="13"/>
  <c r="N23" i="13"/>
  <c r="K20" i="13"/>
  <c r="L19" i="13"/>
  <c r="M18" i="13"/>
  <c r="N17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L14" i="13" l="1"/>
  <c r="L15" i="13"/>
  <c r="L16" i="13"/>
  <c r="M13" i="13"/>
  <c r="J13" i="13"/>
  <c r="K13" i="13"/>
  <c r="L13" i="13"/>
  <c r="O13" i="13"/>
  <c r="J14" i="13"/>
  <c r="K14" i="13"/>
  <c r="N14" i="13"/>
  <c r="O14" i="13"/>
  <c r="J16" i="13"/>
  <c r="K16" i="13" l="1"/>
  <c r="O15" i="13"/>
  <c r="K15" i="13"/>
  <c r="J15" i="13"/>
  <c r="O16" i="13"/>
  <c r="N16" i="13"/>
  <c r="N15" i="13"/>
  <c r="M16" i="13"/>
  <c r="M15" i="13"/>
  <c r="M14" i="13"/>
  <c r="N13" i="13"/>
  <c r="O3" i="13" l="1"/>
  <c r="J4" i="13"/>
  <c r="J5" i="13"/>
  <c r="M5" i="13"/>
  <c r="N5" i="13"/>
  <c r="O5" i="13"/>
  <c r="J6" i="13"/>
  <c r="L6" i="13"/>
  <c r="M6" i="13"/>
  <c r="O6" i="13"/>
  <c r="M7" i="13"/>
  <c r="O7" i="13"/>
  <c r="K8" i="13"/>
  <c r="J8" i="13"/>
  <c r="AB8" i="13"/>
  <c r="L9" i="13"/>
  <c r="J10" i="13"/>
  <c r="K10" i="13"/>
  <c r="O10" i="13"/>
  <c r="K11" i="13"/>
  <c r="O12" i="13"/>
  <c r="K12" i="13"/>
  <c r="L12" i="13"/>
  <c r="O11" i="13" l="1"/>
  <c r="N11" i="13"/>
  <c r="L11" i="13"/>
  <c r="J11" i="13"/>
  <c r="O8" i="13"/>
  <c r="N8" i="13"/>
  <c r="M8" i="13"/>
  <c r="L8" i="13"/>
  <c r="O4" i="13"/>
  <c r="N4" i="13"/>
  <c r="L7" i="13"/>
  <c r="K7" i="13"/>
  <c r="N10" i="13"/>
  <c r="M11" i="13"/>
  <c r="M10" i="13"/>
  <c r="N6" i="13"/>
  <c r="J9" i="13"/>
  <c r="K9" i="13"/>
  <c r="M9" i="13"/>
  <c r="K3" i="13"/>
  <c r="L3" i="13"/>
  <c r="M3" i="13"/>
  <c r="N3" i="13"/>
  <c r="J3" i="13"/>
  <c r="M12" i="13"/>
  <c r="N12" i="13"/>
  <c r="J12" i="13"/>
  <c r="O9" i="13"/>
  <c r="N9" i="13"/>
  <c r="L10" i="13"/>
  <c r="J7" i="13"/>
  <c r="K6" i="13"/>
  <c r="L5" i="13"/>
  <c r="M4" i="13"/>
  <c r="K5" i="13"/>
  <c r="L4" i="13"/>
  <c r="N7" i="13"/>
  <c r="K4" i="13"/>
  <c r="C27" i="3" l="1"/>
  <c r="C26" i="3"/>
</calcChain>
</file>

<file path=xl/sharedStrings.xml><?xml version="1.0" encoding="utf-8"?>
<sst xmlns="http://schemas.openxmlformats.org/spreadsheetml/2006/main" count="127" uniqueCount="110">
  <si>
    <t>Name</t>
  </si>
  <si>
    <t>Nathalie</t>
  </si>
  <si>
    <t>Date</t>
  </si>
  <si>
    <t>Cell type</t>
  </si>
  <si>
    <t>Transporter constructs</t>
  </si>
  <si>
    <t>none</t>
  </si>
  <si>
    <t>Substrate</t>
  </si>
  <si>
    <t>Inhibitors</t>
  </si>
  <si>
    <t>None</t>
  </si>
  <si>
    <t>Short description</t>
  </si>
  <si>
    <t>1 nM T3 or T4</t>
  </si>
  <si>
    <t>Incubation times</t>
  </si>
  <si>
    <t>4, 8, 24 hours</t>
  </si>
  <si>
    <t>Expose cells to T3 or T4 for 4, 8 and 24 hours to test metabolism of substrate by deiodinaes</t>
  </si>
  <si>
    <t>Passage number</t>
  </si>
  <si>
    <t>P</t>
  </si>
  <si>
    <t>Growth medium</t>
  </si>
  <si>
    <t>DMEM/F12 + 9% FBS + P/S</t>
  </si>
  <si>
    <t>CT medium</t>
  </si>
  <si>
    <t>Seeding density</t>
  </si>
  <si>
    <t>Protocol</t>
  </si>
  <si>
    <t>Trypsinize with 1 ml trypsin ~xx min</t>
  </si>
  <si>
    <t>quenche with 10 ml growth medium</t>
  </si>
  <si>
    <t>Centrifuge 5' 1500 rpm, remove medium, take up cells in 10 ml growth medium</t>
  </si>
  <si>
    <t>Cell count</t>
  </si>
  <si>
    <t xml:space="preserve">Need </t>
  </si>
  <si>
    <t>Dilute</t>
  </si>
  <si>
    <t>Plate</t>
  </si>
  <si>
    <t>100000 cells/ml</t>
  </si>
  <si>
    <t>Plate 1*10^5 cells per well in 12 wells plates:</t>
  </si>
  <si>
    <t>Plate 1 ml per well</t>
  </si>
  <si>
    <t>0.65 ml cell suspension in total of 5 ml medium</t>
  </si>
  <si>
    <t>1000 ul per well</t>
  </si>
  <si>
    <t>Incubation volume</t>
  </si>
  <si>
    <t>incubation time(s)</t>
  </si>
  <si>
    <t>inhibitors</t>
  </si>
  <si>
    <t>lysis buffer</t>
  </si>
  <si>
    <t>1 nM  T3/T4</t>
  </si>
  <si>
    <t>NaOH</t>
  </si>
  <si>
    <t>Calculations</t>
  </si>
  <si>
    <t>ml</t>
  </si>
  <si>
    <t>uL</t>
  </si>
  <si>
    <t>Cold substrate  (1 uM)</t>
  </si>
  <si>
    <t>Tracer</t>
  </si>
  <si>
    <t>cpm per sample</t>
  </si>
  <si>
    <t>Tracer control: medium + acetonitril+0.1%AA</t>
  </si>
  <si>
    <t>D</t>
  </si>
  <si>
    <t>%T4</t>
  </si>
  <si>
    <t>%rT3</t>
  </si>
  <si>
    <t>%T3</t>
  </si>
  <si>
    <t>%T2</t>
  </si>
  <si>
    <t>%T1</t>
  </si>
  <si>
    <t>%I</t>
  </si>
  <si>
    <t>Som</t>
  </si>
  <si>
    <t>T4 (11.5)</t>
  </si>
  <si>
    <t>rT3 (8.9)</t>
  </si>
  <si>
    <t>T3 (8.1)</t>
  </si>
  <si>
    <t>3,3'-T2 (5.7)</t>
  </si>
  <si>
    <t>T1 (2.9)</t>
  </si>
  <si>
    <t>I (1.3)</t>
  </si>
  <si>
    <t>30/11/2022 T4 data</t>
  </si>
  <si>
    <r>
      <t>5.8x10</t>
    </r>
    <r>
      <rPr>
        <vertAlign val="superscript"/>
        <sz val="11"/>
        <color rgb="FFFF0000"/>
        <rFont val="Calibri"/>
        <family val="2"/>
        <scheme val="minor"/>
      </rPr>
      <t>5</t>
    </r>
    <r>
      <rPr>
        <sz val="11"/>
        <color rgb="FFFF0000"/>
        <rFont val="Calibri"/>
        <family val="2"/>
        <scheme val="minor"/>
      </rPr>
      <t xml:space="preserve"> viable cells per ml</t>
    </r>
  </si>
  <si>
    <r>
      <t>5x10</t>
    </r>
    <r>
      <rPr>
        <vertAlign val="superscript"/>
        <sz val="11"/>
        <color rgb="FFFF0000"/>
        <rFont val="Calibri"/>
        <family val="2"/>
        <scheme val="minor"/>
      </rPr>
      <t xml:space="preserve">5 </t>
    </r>
    <r>
      <rPr>
        <sz val="11"/>
        <color rgb="FFFF0000"/>
        <rFont val="Calibri"/>
        <family val="2"/>
        <scheme val="minor"/>
      </rPr>
      <t>total cells needed</t>
    </r>
  </si>
  <si>
    <t>grow cells in T75 flasks</t>
  </si>
  <si>
    <t>Dilute cells in medium to 100000 or 200000 or 500000 cells per ml</t>
  </si>
  <si>
    <t>200 uL</t>
  </si>
  <si>
    <t>21/6/2023</t>
  </si>
  <si>
    <t>H4 + cAMp+ SKNAS</t>
  </si>
  <si>
    <t xml:space="preserve">H4 cells have been cultured for 10 days in the precense of 1/1000 cAMP </t>
  </si>
  <si>
    <t>23/8/2023</t>
  </si>
  <si>
    <t>H4 + forskolin</t>
  </si>
  <si>
    <t>27/3/24</t>
  </si>
  <si>
    <t xml:space="preserve">H4  + SKNAS </t>
  </si>
  <si>
    <t>24hour</t>
  </si>
  <si>
    <t>T3</t>
  </si>
  <si>
    <t>CPM 1 uL T3 stock</t>
  </si>
  <si>
    <t>2x T3</t>
  </si>
  <si>
    <t>MO3.13 T3 DMSO 1</t>
  </si>
  <si>
    <t>MO3.13 T3 DMSO 2</t>
  </si>
  <si>
    <t>MO3.13 T3 IOP 1</t>
  </si>
  <si>
    <t>MO3.13 T3 IOP 2</t>
  </si>
  <si>
    <t>MO3.13 T3 BSP 1</t>
  </si>
  <si>
    <t>MO3.13 T3 BSP 2</t>
  </si>
  <si>
    <t>MO3.13 T3 CP 1</t>
  </si>
  <si>
    <t>MO3.13 T3 CP 2</t>
  </si>
  <si>
    <t>MO3.13 T3 NH3 1</t>
  </si>
  <si>
    <t>MO3.13 T3 NH3 2</t>
  </si>
  <si>
    <t>MO3.13 T3 TBBPA 1</t>
  </si>
  <si>
    <t>MO3.13 T3 TBBPA 2</t>
  </si>
  <si>
    <t>SKNAS T3 DMSO 1</t>
  </si>
  <si>
    <t>SKNAS T3 DMSO 2</t>
  </si>
  <si>
    <t>SKNAS T3 IOP 1</t>
  </si>
  <si>
    <t>SKNAS T3 IOP 2</t>
  </si>
  <si>
    <t>SKNAS T3 BSP 1</t>
  </si>
  <si>
    <t>SKNAS T3 BSP 2</t>
  </si>
  <si>
    <t>SKNAS T3 CP 1</t>
  </si>
  <si>
    <t>SKNAS T3 CP 2</t>
  </si>
  <si>
    <t>SKNAS T3 NH3 1</t>
  </si>
  <si>
    <t>SKNAS T3 NH3 2</t>
  </si>
  <si>
    <t>SKNAS T3 TBBPA 1</t>
  </si>
  <si>
    <t>SKNAS T3 TBBPA 2</t>
  </si>
  <si>
    <t>T3 Tracer B</t>
  </si>
  <si>
    <t>T3 Tracer A</t>
  </si>
  <si>
    <t>IOP</t>
  </si>
  <si>
    <t>CP</t>
  </si>
  <si>
    <t>NH3</t>
  </si>
  <si>
    <t>TBBPA</t>
  </si>
  <si>
    <t>BSP</t>
  </si>
  <si>
    <t>0.5 ml</t>
  </si>
  <si>
    <t>IOP, CP, NH3, TBBPA, 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</si>
</sst>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4" xfId="0" applyFill="1" applyBorder="1"/>
    <xf numFmtId="0" fontId="0" fillId="0" borderId="0" xfId="0" applyFill="1"/>
    <xf numFmtId="164" fontId="0" fillId="0" borderId="0" xfId="0" applyNumberFormat="1" applyBorder="1"/>
    <xf numFmtId="0" fontId="0" fillId="0" borderId="0" xfId="0" applyFill="1" applyBorder="1"/>
    <xf numFmtId="0" fontId="0" fillId="0" borderId="10" xfId="0" applyBorder="1"/>
    <xf numFmtId="164" fontId="0" fillId="0" borderId="0" xfId="0" applyNumberFormat="1" applyFill="1" applyBorder="1"/>
    <xf numFmtId="0" fontId="0" fillId="0" borderId="10" xfId="0" applyFill="1" applyBorder="1"/>
    <xf numFmtId="0" fontId="1" fillId="2" borderId="0" xfId="0" applyFont="1" applyFill="1" applyBorder="1" applyAlignment="1">
      <alignment horizontal="center"/>
    </xf>
    <xf numFmtId="0" fontId="0" fillId="4" borderId="11" xfId="0" applyFill="1" applyBorder="1"/>
    <xf numFmtId="0" fontId="7" fillId="0" borderId="0" xfId="0" applyFont="1"/>
    <xf numFmtId="0" fontId="6" fillId="0" borderId="0" xfId="0" applyFont="1" applyFill="1"/>
    <xf numFmtId="0" fontId="3" fillId="0" borderId="0" xfId="0" applyFont="1" applyFill="1"/>
    <xf numFmtId="0" fontId="1" fillId="0" borderId="0" xfId="0" applyFont="1" applyFill="1" applyBorder="1"/>
    <xf numFmtId="0" fontId="6" fillId="0" borderId="0" xfId="0" applyFont="1" applyFill="1" applyBorder="1"/>
    <xf numFmtId="0" fontId="1" fillId="0" borderId="0" xfId="0" applyFont="1" applyFill="1" applyBorder="1" applyAlignment="1"/>
    <xf numFmtId="0" fontId="0" fillId="0" borderId="9" xfId="0" applyFill="1" applyBorder="1"/>
    <xf numFmtId="0" fontId="1" fillId="0" borderId="9" xfId="0" applyFont="1" applyFill="1" applyBorder="1"/>
    <xf numFmtId="0" fontId="0" fillId="0" borderId="9" xfId="0" applyFill="1" applyBorder="1" applyAlignment="1"/>
    <xf numFmtId="0" fontId="0" fillId="0" borderId="0" xfId="0" applyFill="1" applyBorder="1" applyAlignment="1">
      <alignment horizontal="center"/>
    </xf>
  </cellXfs>
  <cellStyles count="2">
    <cellStyle name="Normal" xfId="0" builtinId="0"/>
    <cellStyle name="Standaard 2 2" xfId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workbookViewId="0">
      <selection activeCell="E20" sqref="E20"/>
    </sheetView>
  </sheetViews>
  <sheetFormatPr defaultRowHeight="15" x14ac:dyDescent="0.25"/>
  <cols>
    <col min="2" max="2" width="21" bestFit="1" customWidth="1"/>
    <col min="3" max="3" width="19" customWidth="1"/>
  </cols>
  <sheetData>
    <row r="2" spans="2:3" x14ac:dyDescent="0.25">
      <c r="B2" s="1" t="s">
        <v>0</v>
      </c>
      <c r="C2" s="2" t="s">
        <v>1</v>
      </c>
    </row>
    <row r="3" spans="2:3" x14ac:dyDescent="0.25">
      <c r="B3" s="1" t="s">
        <v>2</v>
      </c>
      <c r="C3" s="3" t="s">
        <v>66</v>
      </c>
    </row>
    <row r="4" spans="2:3" x14ac:dyDescent="0.25">
      <c r="B4" s="4" t="s">
        <v>3</v>
      </c>
      <c r="C4" s="4" t="s">
        <v>67</v>
      </c>
    </row>
    <row r="5" spans="2:3" x14ac:dyDescent="0.25">
      <c r="B5" s="4" t="s">
        <v>4</v>
      </c>
      <c r="C5" s="4" t="s">
        <v>5</v>
      </c>
    </row>
    <row r="6" spans="2:3" x14ac:dyDescent="0.25">
      <c r="B6" s="1" t="s">
        <v>6</v>
      </c>
      <c r="C6" s="3" t="s">
        <v>10</v>
      </c>
    </row>
    <row r="7" spans="2:3" x14ac:dyDescent="0.25">
      <c r="B7" s="1" t="s">
        <v>11</v>
      </c>
      <c r="C7" s="1" t="s">
        <v>12</v>
      </c>
    </row>
    <row r="8" spans="2:3" x14ac:dyDescent="0.25">
      <c r="B8" s="1" t="s">
        <v>7</v>
      </c>
      <c r="C8" s="3" t="s">
        <v>8</v>
      </c>
    </row>
    <row r="9" spans="2:3" x14ac:dyDescent="0.25">
      <c r="C9" s="5"/>
    </row>
    <row r="10" spans="2:3" x14ac:dyDescent="0.25">
      <c r="C10" s="5"/>
    </row>
    <row r="11" spans="2:3" x14ac:dyDescent="0.25">
      <c r="B11" s="1" t="s">
        <v>9</v>
      </c>
      <c r="C11" s="3" t="s">
        <v>13</v>
      </c>
    </row>
    <row r="13" spans="2:3" x14ac:dyDescent="0.25">
      <c r="C13" t="s">
        <v>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workbookViewId="0">
      <selection activeCell="C7" sqref="C7"/>
    </sheetView>
  </sheetViews>
  <sheetFormatPr defaultRowHeight="15" x14ac:dyDescent="0.25"/>
  <cols>
    <col min="2" max="2" width="26.5703125" customWidth="1"/>
  </cols>
  <sheetData>
    <row r="2" spans="1:9" x14ac:dyDescent="0.25">
      <c r="B2" s="1" t="s">
        <v>0</v>
      </c>
      <c r="C2" s="2" t="s">
        <v>1</v>
      </c>
    </row>
    <row r="3" spans="1:9" x14ac:dyDescent="0.25">
      <c r="B3" s="1" t="s">
        <v>2</v>
      </c>
      <c r="C3" s="3" t="s">
        <v>69</v>
      </c>
    </row>
    <row r="4" spans="1:9" x14ac:dyDescent="0.25">
      <c r="B4" s="4" t="s">
        <v>3</v>
      </c>
      <c r="C4" s="4" t="s">
        <v>70</v>
      </c>
    </row>
    <row r="5" spans="1:9" x14ac:dyDescent="0.25">
      <c r="B5" s="1" t="s">
        <v>14</v>
      </c>
      <c r="C5" s="3" t="s">
        <v>15</v>
      </c>
    </row>
    <row r="6" spans="1:9" x14ac:dyDescent="0.25">
      <c r="B6" s="1" t="s">
        <v>16</v>
      </c>
      <c r="C6" s="6" t="s">
        <v>17</v>
      </c>
    </row>
    <row r="7" spans="1:9" x14ac:dyDescent="0.25">
      <c r="B7" t="s">
        <v>19</v>
      </c>
      <c r="C7" t="s">
        <v>28</v>
      </c>
    </row>
    <row r="9" spans="1:9" x14ac:dyDescent="0.25">
      <c r="A9" s="26"/>
      <c r="B9" s="27" t="s">
        <v>20</v>
      </c>
      <c r="C9" s="26"/>
      <c r="D9" s="26"/>
      <c r="E9" s="26"/>
      <c r="F9" s="26"/>
      <c r="G9" s="26"/>
      <c r="H9" s="26"/>
      <c r="I9" s="26"/>
    </row>
    <row r="10" spans="1:9" x14ac:dyDescent="0.25">
      <c r="A10" s="26"/>
      <c r="B10" s="26" t="s">
        <v>63</v>
      </c>
      <c r="C10" s="26"/>
      <c r="D10" s="26"/>
      <c r="E10" s="26"/>
      <c r="F10" s="26"/>
      <c r="G10" s="26"/>
      <c r="H10" s="26"/>
      <c r="I10" s="26"/>
    </row>
    <row r="11" spans="1:9" x14ac:dyDescent="0.25">
      <c r="A11" s="26"/>
      <c r="B11" s="26" t="s">
        <v>21</v>
      </c>
      <c r="C11" s="26"/>
      <c r="D11" s="26"/>
      <c r="E11" s="26"/>
      <c r="F11" s="26"/>
      <c r="G11" s="26"/>
      <c r="H11" s="26"/>
      <c r="I11" s="26"/>
    </row>
    <row r="12" spans="1:9" x14ac:dyDescent="0.25">
      <c r="A12" s="26"/>
      <c r="B12" s="26" t="s">
        <v>22</v>
      </c>
      <c r="C12" s="26"/>
      <c r="D12" s="26"/>
      <c r="E12" s="26"/>
      <c r="F12" s="26"/>
      <c r="G12" s="26"/>
      <c r="H12" s="26"/>
      <c r="I12" s="26"/>
    </row>
    <row r="13" spans="1:9" x14ac:dyDescent="0.25">
      <c r="A13" s="26"/>
      <c r="B13" s="26" t="s">
        <v>23</v>
      </c>
      <c r="C13" s="26"/>
      <c r="D13" s="26"/>
      <c r="E13" s="26"/>
      <c r="F13" s="26"/>
      <c r="G13" s="26"/>
      <c r="H13" s="26"/>
      <c r="I13" s="26"/>
    </row>
    <row r="14" spans="1:9" x14ac:dyDescent="0.25">
      <c r="A14" s="26"/>
      <c r="B14" s="26" t="s">
        <v>29</v>
      </c>
      <c r="C14" s="26"/>
      <c r="D14" s="26"/>
      <c r="E14" s="26"/>
      <c r="F14" s="26"/>
      <c r="G14" s="26"/>
      <c r="H14" s="26"/>
      <c r="I14" s="26"/>
    </row>
    <row r="15" spans="1:9" x14ac:dyDescent="0.25">
      <c r="A15" s="26"/>
      <c r="B15" s="26" t="s">
        <v>64</v>
      </c>
      <c r="C15" s="26"/>
      <c r="D15" s="26"/>
      <c r="E15" s="26"/>
      <c r="F15" s="26"/>
      <c r="G15" s="26"/>
      <c r="H15" s="26"/>
      <c r="I15" s="26"/>
    </row>
    <row r="16" spans="1:9" x14ac:dyDescent="0.25">
      <c r="A16" s="26"/>
      <c r="B16" s="26" t="s">
        <v>30</v>
      </c>
      <c r="C16" s="26"/>
      <c r="D16" s="26"/>
      <c r="E16" s="26"/>
      <c r="F16" s="26"/>
      <c r="G16" s="26"/>
      <c r="H16" s="26"/>
      <c r="I16" s="26"/>
    </row>
    <row r="17" spans="1:9" x14ac:dyDescent="0.25">
      <c r="A17" s="26"/>
      <c r="B17" s="26"/>
      <c r="C17" s="26"/>
      <c r="D17" s="26"/>
      <c r="E17" s="26"/>
      <c r="F17" s="26"/>
      <c r="G17" s="26"/>
      <c r="H17" s="26"/>
      <c r="I17" s="26"/>
    </row>
    <row r="18" spans="1:9" ht="17.25" x14ac:dyDescent="0.25">
      <c r="A18" s="25"/>
      <c r="B18" s="25" t="s">
        <v>24</v>
      </c>
      <c r="C18" s="25" t="s">
        <v>61</v>
      </c>
      <c r="D18" s="25"/>
      <c r="E18" s="25"/>
      <c r="F18" s="25"/>
      <c r="G18" s="25"/>
      <c r="H18" s="25"/>
    </row>
    <row r="19" spans="1:9" ht="17.25" x14ac:dyDescent="0.25">
      <c r="A19" s="25"/>
      <c r="B19" s="25" t="s">
        <v>25</v>
      </c>
      <c r="C19" s="25" t="s">
        <v>62</v>
      </c>
      <c r="D19" s="25"/>
      <c r="E19" s="25"/>
      <c r="F19" s="25"/>
      <c r="G19" s="25"/>
      <c r="H19" s="25"/>
    </row>
    <row r="20" spans="1:9" x14ac:dyDescent="0.25">
      <c r="A20" s="25"/>
      <c r="B20" s="25" t="s">
        <v>26</v>
      </c>
      <c r="C20" s="25" t="s">
        <v>31</v>
      </c>
      <c r="D20" s="25"/>
      <c r="E20" s="25"/>
      <c r="F20" s="25"/>
      <c r="G20" s="25"/>
      <c r="H20" s="25"/>
    </row>
    <row r="21" spans="1:9" x14ac:dyDescent="0.25">
      <c r="A21" s="25"/>
      <c r="B21" s="25" t="s">
        <v>27</v>
      </c>
      <c r="C21" s="25" t="s">
        <v>32</v>
      </c>
      <c r="D21" s="25"/>
      <c r="E21" s="25"/>
      <c r="F21" s="25"/>
      <c r="G21" s="25"/>
      <c r="H21" s="25"/>
    </row>
    <row r="22" spans="1:9" x14ac:dyDescent="0.25">
      <c r="A22" s="25"/>
      <c r="B22" s="25"/>
      <c r="C22" s="25"/>
      <c r="D22" s="25"/>
      <c r="E22" s="25"/>
      <c r="F22" s="25"/>
      <c r="G22" s="25"/>
      <c r="H22" s="25"/>
    </row>
    <row r="23" spans="1:9" x14ac:dyDescent="0.25">
      <c r="A23" s="25"/>
      <c r="B23" s="25"/>
      <c r="C23" s="25"/>
      <c r="D23" s="25"/>
      <c r="E23" s="25"/>
      <c r="F23" s="25"/>
      <c r="G23" s="25"/>
      <c r="H23" s="25"/>
    </row>
    <row r="24" spans="1:9" x14ac:dyDescent="0.25">
      <c r="A24" s="25"/>
      <c r="B24" s="25"/>
      <c r="C24" s="25"/>
      <c r="D24" s="25"/>
      <c r="E24" s="25"/>
      <c r="F24" s="25"/>
      <c r="G24" s="25"/>
      <c r="H24" s="25"/>
    </row>
    <row r="25" spans="1:9" x14ac:dyDescent="0.25">
      <c r="A25" s="25"/>
      <c r="B25" s="25"/>
      <c r="C25" s="25"/>
      <c r="D25" s="25"/>
      <c r="E25" s="25"/>
      <c r="F25" s="25"/>
      <c r="G25" s="25"/>
      <c r="H25" s="25"/>
    </row>
    <row r="26" spans="1:9" x14ac:dyDescent="0.25">
      <c r="A26" s="25"/>
      <c r="B26" s="25"/>
      <c r="C26" s="25"/>
      <c r="D26" s="25"/>
      <c r="E26" s="25"/>
      <c r="F26" s="25"/>
      <c r="G26" s="25"/>
      <c r="H26" s="25"/>
    </row>
    <row r="27" spans="1:9" x14ac:dyDescent="0.25">
      <c r="A27" s="25"/>
      <c r="B27" s="25"/>
      <c r="C27" s="25"/>
      <c r="D27" s="25"/>
      <c r="E27" s="25"/>
      <c r="F27" s="25"/>
      <c r="G27" s="25"/>
      <c r="H27" s="25"/>
    </row>
    <row r="28" spans="1:9" x14ac:dyDescent="0.25">
      <c r="A28" s="25"/>
      <c r="B28" s="25"/>
      <c r="C28" s="25"/>
      <c r="D28" s="25"/>
      <c r="E28" s="25"/>
      <c r="F28" s="25"/>
      <c r="G28" s="25"/>
      <c r="H28" s="25"/>
    </row>
    <row r="29" spans="1:9" x14ac:dyDescent="0.25">
      <c r="A29" s="25"/>
      <c r="B29" s="25"/>
      <c r="C29" s="25"/>
      <c r="D29" s="25"/>
      <c r="E29" s="25"/>
      <c r="F29" s="25"/>
      <c r="G29" s="25"/>
      <c r="H29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32"/>
  <sheetViews>
    <sheetView workbookViewId="0">
      <selection activeCell="C39" sqref="C39"/>
    </sheetView>
  </sheetViews>
  <sheetFormatPr defaultRowHeight="15" x14ac:dyDescent="0.25"/>
  <cols>
    <col min="1" max="1" width="11.7109375" bestFit="1" customWidth="1"/>
    <col min="2" max="2" width="20.5703125" bestFit="1" customWidth="1"/>
    <col min="3" max="3" width="18.7109375" bestFit="1" customWidth="1"/>
    <col min="4" max="4" width="16.42578125" customWidth="1"/>
    <col min="5" max="5" width="11.5703125" customWidth="1"/>
    <col min="6" max="6" width="20.5703125" bestFit="1" customWidth="1"/>
    <col min="7" max="7" width="9.5703125" customWidth="1"/>
    <col min="8" max="8" width="12.42578125" customWidth="1"/>
  </cols>
  <sheetData>
    <row r="3" spans="2:12" x14ac:dyDescent="0.25">
      <c r="B3" s="1" t="s">
        <v>0</v>
      </c>
      <c r="C3" s="2" t="s">
        <v>1</v>
      </c>
    </row>
    <row r="4" spans="2:12" x14ac:dyDescent="0.25">
      <c r="B4" s="1" t="s">
        <v>2</v>
      </c>
      <c r="C4" s="3" t="s">
        <v>71</v>
      </c>
    </row>
    <row r="5" spans="2:12" x14ac:dyDescent="0.25">
      <c r="B5" s="4" t="s">
        <v>3</v>
      </c>
      <c r="C5" s="4" t="s">
        <v>72</v>
      </c>
    </row>
    <row r="6" spans="2:12" x14ac:dyDescent="0.25">
      <c r="B6" s="1" t="s">
        <v>6</v>
      </c>
      <c r="C6" s="3" t="s">
        <v>37</v>
      </c>
    </row>
    <row r="7" spans="2:12" x14ac:dyDescent="0.25">
      <c r="B7" s="1" t="s">
        <v>33</v>
      </c>
      <c r="C7" t="s">
        <v>108</v>
      </c>
    </row>
    <row r="8" spans="2:12" x14ac:dyDescent="0.25">
      <c r="B8" s="1" t="s">
        <v>34</v>
      </c>
      <c r="C8" t="s">
        <v>73</v>
      </c>
    </row>
    <row r="9" spans="2:12" x14ac:dyDescent="0.25">
      <c r="B9" s="1" t="s">
        <v>35</v>
      </c>
      <c r="C9" t="s">
        <v>109</v>
      </c>
    </row>
    <row r="10" spans="2:12" x14ac:dyDescent="0.25">
      <c r="B10" s="1" t="s">
        <v>36</v>
      </c>
      <c r="C10" t="s">
        <v>38</v>
      </c>
      <c r="F10" s="11"/>
      <c r="G10" s="11"/>
      <c r="H10" s="11"/>
      <c r="I10" s="11"/>
      <c r="J10" s="11"/>
      <c r="K10" s="11"/>
      <c r="L10" s="11"/>
    </row>
    <row r="11" spans="2:12" x14ac:dyDescent="0.25">
      <c r="B11" s="1" t="s">
        <v>44</v>
      </c>
      <c r="C11">
        <v>2000000</v>
      </c>
      <c r="F11" s="11"/>
      <c r="G11" s="11"/>
      <c r="H11" s="11"/>
      <c r="I11" s="11"/>
      <c r="J11" s="11"/>
      <c r="K11" s="11"/>
      <c r="L11" s="11"/>
    </row>
    <row r="12" spans="2:12" x14ac:dyDescent="0.25">
      <c r="F12" s="11"/>
      <c r="G12" s="11"/>
      <c r="H12" s="11"/>
      <c r="I12" s="11"/>
      <c r="J12" s="11"/>
      <c r="K12" s="11"/>
      <c r="L12" s="11"/>
    </row>
    <row r="13" spans="2:12" x14ac:dyDescent="0.25">
      <c r="B13" s="32" t="s">
        <v>46</v>
      </c>
      <c r="C13" s="31" t="s">
        <v>46</v>
      </c>
      <c r="D13" s="31" t="s">
        <v>103</v>
      </c>
      <c r="E13" s="31" t="s">
        <v>103</v>
      </c>
      <c r="F13" s="19"/>
      <c r="G13" s="11"/>
      <c r="H13" s="28"/>
      <c r="I13" s="19"/>
      <c r="J13" s="19"/>
      <c r="K13" s="19"/>
      <c r="L13" s="19"/>
    </row>
    <row r="14" spans="2:12" x14ac:dyDescent="0.25">
      <c r="B14" s="31" t="s">
        <v>104</v>
      </c>
      <c r="C14" s="31" t="s">
        <v>104</v>
      </c>
      <c r="D14" s="31" t="s">
        <v>105</v>
      </c>
      <c r="E14" s="31" t="s">
        <v>105</v>
      </c>
      <c r="F14" s="19"/>
      <c r="G14" s="11"/>
      <c r="H14" s="19"/>
      <c r="I14" s="19"/>
      <c r="J14" s="19"/>
      <c r="K14" s="19"/>
      <c r="L14" s="19"/>
    </row>
    <row r="15" spans="2:12" x14ac:dyDescent="0.25">
      <c r="B15" s="33" t="s">
        <v>106</v>
      </c>
      <c r="C15" s="33" t="s">
        <v>106</v>
      </c>
      <c r="D15" s="33" t="s">
        <v>107</v>
      </c>
      <c r="E15" s="33" t="s">
        <v>107</v>
      </c>
      <c r="F15" s="19"/>
      <c r="G15" s="11"/>
      <c r="H15" s="34"/>
      <c r="I15" s="34"/>
      <c r="J15" s="34"/>
      <c r="K15" s="34"/>
      <c r="L15" s="19"/>
    </row>
    <row r="16" spans="2:12" x14ac:dyDescent="0.25">
      <c r="B16" s="19"/>
      <c r="C16" s="19"/>
      <c r="D16" s="19"/>
      <c r="E16" s="19"/>
      <c r="F16" s="19"/>
      <c r="G16" s="11"/>
      <c r="H16" s="19"/>
      <c r="I16" s="19"/>
      <c r="J16" s="19"/>
      <c r="K16" s="19"/>
      <c r="L16" s="19"/>
    </row>
    <row r="17" spans="1:1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25">
      <c r="A18" s="19"/>
      <c r="B18" s="19"/>
      <c r="C18" s="19"/>
      <c r="D18" s="19"/>
      <c r="E18" s="19"/>
      <c r="F18" s="19"/>
      <c r="G18" s="19"/>
      <c r="H18" s="19"/>
      <c r="I18" s="28"/>
      <c r="J18" s="28"/>
      <c r="K18" s="28"/>
      <c r="L18" s="19"/>
      <c r="M18" s="19"/>
      <c r="N18" s="19"/>
    </row>
    <row r="19" spans="1:14" x14ac:dyDescent="0.25">
      <c r="A19" s="19"/>
      <c r="B19" s="19"/>
      <c r="C19" s="19"/>
      <c r="D19" s="19"/>
      <c r="E19" s="19"/>
      <c r="F19" s="19"/>
      <c r="G19" s="19"/>
      <c r="H19" s="19"/>
      <c r="I19" s="30"/>
      <c r="J19" s="30"/>
      <c r="K19" s="30"/>
      <c r="L19" s="19"/>
      <c r="M19" s="19"/>
      <c r="N19" s="19"/>
    </row>
    <row r="20" spans="1:14" x14ac:dyDescent="0.25">
      <c r="A20" s="19"/>
      <c r="B20" s="19"/>
      <c r="C20" s="19"/>
      <c r="D20" s="19"/>
      <c r="E20" s="19"/>
      <c r="F20" s="19"/>
      <c r="G20" s="19"/>
      <c r="H20" s="19"/>
      <c r="I20" s="28"/>
      <c r="J20" s="28"/>
      <c r="K20" s="28"/>
      <c r="L20" s="19"/>
      <c r="M20" s="19"/>
      <c r="N20" s="19"/>
    </row>
    <row r="21" spans="1:14" x14ac:dyDescent="0.25">
      <c r="B21" s="19"/>
      <c r="C21" s="19"/>
      <c r="D21" s="19"/>
      <c r="E21" s="19"/>
      <c r="F21" s="19"/>
    </row>
    <row r="22" spans="1:14" ht="15.75" thickBot="1" x14ac:dyDescent="0.3"/>
    <row r="23" spans="1:14" x14ac:dyDescent="0.25">
      <c r="A23" t="s">
        <v>39</v>
      </c>
      <c r="B23" s="7" t="s">
        <v>74</v>
      </c>
      <c r="C23" s="8"/>
      <c r="D23" s="9"/>
    </row>
    <row r="24" spans="1:14" x14ac:dyDescent="0.25">
      <c r="B24" s="10"/>
      <c r="C24" s="11"/>
      <c r="D24" s="12"/>
    </row>
    <row r="25" spans="1:14" x14ac:dyDescent="0.25">
      <c r="B25" s="16" t="s">
        <v>18</v>
      </c>
      <c r="C25" s="11">
        <v>16</v>
      </c>
      <c r="D25" s="12" t="s">
        <v>40</v>
      </c>
    </row>
    <row r="26" spans="1:14" x14ac:dyDescent="0.25">
      <c r="B26" s="10" t="s">
        <v>42</v>
      </c>
      <c r="C26" s="11">
        <f>0.5*C25</f>
        <v>8</v>
      </c>
      <c r="D26" s="12" t="s">
        <v>41</v>
      </c>
    </row>
    <row r="27" spans="1:14" x14ac:dyDescent="0.25">
      <c r="B27" s="10" t="s">
        <v>43</v>
      </c>
      <c r="C27" s="11">
        <f>C11/C29*C25</f>
        <v>198.02421341069481</v>
      </c>
      <c r="D27" s="12" t="s">
        <v>41</v>
      </c>
    </row>
    <row r="28" spans="1:14" x14ac:dyDescent="0.25">
      <c r="B28" s="10"/>
      <c r="C28" s="11"/>
      <c r="D28" s="12"/>
    </row>
    <row r="29" spans="1:14" ht="15.75" thickBot="1" x14ac:dyDescent="0.3">
      <c r="B29" s="13" t="s">
        <v>75</v>
      </c>
      <c r="C29" s="14">
        <f>807982/5</f>
        <v>161596.4</v>
      </c>
      <c r="D29" s="15"/>
    </row>
    <row r="32" spans="1:14" x14ac:dyDescent="0.25">
      <c r="B32" t="s">
        <v>45</v>
      </c>
      <c r="E32" t="s">
        <v>76</v>
      </c>
      <c r="F32" t="s">
        <v>65</v>
      </c>
    </row>
  </sheetData>
  <mergeCells count="2">
    <mergeCell ref="J15:K15"/>
    <mergeCell ref="H15:I15"/>
  </mergeCells>
  <pageMargins left="0.7" right="0.7" top="0.75" bottom="0.75" header="0.3" footer="0.3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B22" sqref="B22"/>
    </sheetView>
  </sheetViews>
  <sheetFormatPr defaultRowHeight="15" x14ac:dyDescent="0.25"/>
  <cols>
    <col min="1" max="1" width="29" bestFit="1" customWidth="1"/>
    <col min="4" max="4" width="11.28515625" bestFit="1" customWidth="1"/>
  </cols>
  <sheetData>
    <row r="1" spans="1:28" ht="15.75" thickBot="1" x14ac:dyDescent="0.3">
      <c r="A1" s="24" t="s">
        <v>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28" ht="15.75" thickTop="1" x14ac:dyDescent="0.25">
      <c r="A2" s="23" t="s">
        <v>0</v>
      </c>
      <c r="B2" s="23" t="s">
        <v>59</v>
      </c>
      <c r="C2" s="23" t="s">
        <v>58</v>
      </c>
      <c r="D2" s="23" t="s">
        <v>57</v>
      </c>
      <c r="E2" s="23" t="s">
        <v>56</v>
      </c>
      <c r="F2" s="23" t="s">
        <v>55</v>
      </c>
      <c r="G2" s="23" t="s">
        <v>54</v>
      </c>
      <c r="H2" s="23" t="s">
        <v>53</v>
      </c>
      <c r="I2" s="23"/>
      <c r="J2" s="23" t="s">
        <v>52</v>
      </c>
      <c r="K2" s="23" t="s">
        <v>51</v>
      </c>
      <c r="L2" s="23" t="s">
        <v>50</v>
      </c>
      <c r="M2" s="23" t="s">
        <v>49</v>
      </c>
      <c r="N2" s="23" t="s">
        <v>48</v>
      </c>
      <c r="O2" s="23" t="s">
        <v>47</v>
      </c>
    </row>
    <row r="3" spans="1:28" x14ac:dyDescent="0.25">
      <c r="A3" s="11" t="s">
        <v>102</v>
      </c>
      <c r="B3" s="11">
        <v>516344</v>
      </c>
      <c r="C3" s="11"/>
      <c r="D3" s="11">
        <f>396867+212107</f>
        <v>608974</v>
      </c>
      <c r="E3" s="11">
        <v>12445201</v>
      </c>
      <c r="F3" s="19"/>
      <c r="G3" s="11"/>
      <c r="H3" s="11">
        <f t="shared" ref="H3:H13" si="0">SUM(B3:G3)</f>
        <v>13570519</v>
      </c>
      <c r="I3" s="11"/>
      <c r="J3" s="18">
        <f t="shared" ref="J3:J12" si="1">(B3/H3)*100</f>
        <v>3.8048950080685935</v>
      </c>
      <c r="K3" s="18">
        <f t="shared" ref="K3:K12" si="2">(C3/H3)*100</f>
        <v>0</v>
      </c>
      <c r="L3" s="18">
        <f t="shared" ref="L3:L12" si="3">(D3/H3)*100</f>
        <v>4.487477597577513</v>
      </c>
      <c r="M3" s="18">
        <f t="shared" ref="M3:M12" si="4">(E3/H3)*100</f>
        <v>91.707627394353892</v>
      </c>
      <c r="N3" s="18">
        <f t="shared" ref="N3:N12" si="5">(F3/H3)*100</f>
        <v>0</v>
      </c>
      <c r="O3" s="18">
        <f t="shared" ref="O3:O12" si="6">(G3/H3)*100</f>
        <v>0</v>
      </c>
    </row>
    <row r="4" spans="1:28" x14ac:dyDescent="0.25">
      <c r="A4" s="20" t="s">
        <v>101</v>
      </c>
      <c r="B4" s="20">
        <f>222258+324354</f>
        <v>546612</v>
      </c>
      <c r="C4" s="20"/>
      <c r="D4" s="20">
        <f>248116+212865</f>
        <v>460981</v>
      </c>
      <c r="E4" s="20">
        <v>12802054</v>
      </c>
      <c r="F4" s="22"/>
      <c r="G4" s="20"/>
      <c r="H4" s="11">
        <f t="shared" si="0"/>
        <v>13809647</v>
      </c>
      <c r="I4" s="20"/>
      <c r="J4" s="18">
        <f t="shared" si="1"/>
        <v>3.9581895178059221</v>
      </c>
      <c r="K4" s="18">
        <f t="shared" si="2"/>
        <v>0</v>
      </c>
      <c r="L4" s="18">
        <f t="shared" si="3"/>
        <v>3.3381084976321267</v>
      </c>
      <c r="M4" s="18">
        <f t="shared" si="4"/>
        <v>92.703701984561945</v>
      </c>
      <c r="N4" s="18">
        <f t="shared" si="5"/>
        <v>0</v>
      </c>
      <c r="O4" s="18">
        <f t="shared" si="6"/>
        <v>0</v>
      </c>
    </row>
    <row r="5" spans="1:28" s="17" customFormat="1" x14ac:dyDescent="0.25">
      <c r="A5" s="19" t="s">
        <v>77</v>
      </c>
      <c r="B5" s="19">
        <f>278100+342935</f>
        <v>621035</v>
      </c>
      <c r="C5" s="19">
        <v>6544685</v>
      </c>
      <c r="D5" s="19">
        <f>427075+434301</f>
        <v>861376</v>
      </c>
      <c r="E5" s="19">
        <v>5358465</v>
      </c>
      <c r="F5" s="19"/>
      <c r="G5" s="19"/>
      <c r="H5" s="19">
        <f t="shared" si="0"/>
        <v>13385561</v>
      </c>
      <c r="I5" s="19"/>
      <c r="J5" s="21">
        <f t="shared" si="1"/>
        <v>4.6395888823785567</v>
      </c>
      <c r="K5" s="21">
        <f t="shared" si="2"/>
        <v>48.893617533101526</v>
      </c>
      <c r="L5" s="21">
        <f t="shared" si="3"/>
        <v>6.4351131790441958</v>
      </c>
      <c r="M5" s="21">
        <f t="shared" si="4"/>
        <v>40.031680405475726</v>
      </c>
      <c r="N5" s="21">
        <f t="shared" si="5"/>
        <v>0</v>
      </c>
      <c r="O5" s="21">
        <f t="shared" si="6"/>
        <v>0</v>
      </c>
    </row>
    <row r="6" spans="1:28" s="17" customFormat="1" x14ac:dyDescent="0.25">
      <c r="A6" s="19" t="s">
        <v>78</v>
      </c>
      <c r="B6" s="19">
        <v>541681</v>
      </c>
      <c r="C6" s="19">
        <v>6010915</v>
      </c>
      <c r="D6" s="19">
        <f>429774+666428</f>
        <v>1096202</v>
      </c>
      <c r="E6" s="19">
        <v>5801552</v>
      </c>
      <c r="F6" s="19"/>
      <c r="G6" s="19"/>
      <c r="H6" s="19">
        <f t="shared" si="0"/>
        <v>13450350</v>
      </c>
      <c r="I6" s="19"/>
      <c r="J6" s="21">
        <f t="shared" si="1"/>
        <v>4.0272632310683365</v>
      </c>
      <c r="K6" s="21">
        <f t="shared" si="2"/>
        <v>44.689654916043075</v>
      </c>
      <c r="L6" s="21">
        <f t="shared" si="3"/>
        <v>8.1499886620050788</v>
      </c>
      <c r="M6" s="21">
        <f t="shared" si="4"/>
        <v>43.133093190883507</v>
      </c>
      <c r="N6" s="21">
        <f t="shared" si="5"/>
        <v>0</v>
      </c>
      <c r="O6" s="21">
        <f t="shared" si="6"/>
        <v>0</v>
      </c>
    </row>
    <row r="7" spans="1:28" s="17" customFormat="1" x14ac:dyDescent="0.25">
      <c r="A7" s="19" t="s">
        <v>79</v>
      </c>
      <c r="B7" s="19">
        <v>475538</v>
      </c>
      <c r="C7" s="19"/>
      <c r="D7" s="19">
        <v>351374</v>
      </c>
      <c r="E7" s="19">
        <v>10437582</v>
      </c>
      <c r="F7" s="19"/>
      <c r="G7" s="19"/>
      <c r="H7" s="19">
        <f t="shared" si="0"/>
        <v>11264494</v>
      </c>
      <c r="I7" s="19"/>
      <c r="J7" s="21">
        <f t="shared" si="1"/>
        <v>4.2215655669930667</v>
      </c>
      <c r="K7" s="21">
        <f t="shared" si="2"/>
        <v>0</v>
      </c>
      <c r="L7" s="21">
        <f t="shared" si="3"/>
        <v>3.1193056696554677</v>
      </c>
      <c r="M7" s="21">
        <f t="shared" si="4"/>
        <v>92.659128763351461</v>
      </c>
      <c r="N7" s="21">
        <f t="shared" si="5"/>
        <v>0</v>
      </c>
      <c r="O7" s="21">
        <f t="shared" si="6"/>
        <v>0</v>
      </c>
    </row>
    <row r="8" spans="1:28" s="17" customFormat="1" x14ac:dyDescent="0.25">
      <c r="A8" s="19" t="s">
        <v>80</v>
      </c>
      <c r="B8" s="19">
        <v>444188</v>
      </c>
      <c r="C8" s="19"/>
      <c r="D8" s="19">
        <f>222060+266711+129097</f>
        <v>617868</v>
      </c>
      <c r="E8" s="19">
        <v>9957226</v>
      </c>
      <c r="F8" s="19"/>
      <c r="G8" s="19"/>
      <c r="H8" s="19">
        <f t="shared" si="0"/>
        <v>11019282</v>
      </c>
      <c r="I8" s="19"/>
      <c r="J8" s="21">
        <f t="shared" si="1"/>
        <v>4.0310067389145683</v>
      </c>
      <c r="K8" s="21">
        <f t="shared" si="2"/>
        <v>0</v>
      </c>
      <c r="L8" s="21">
        <f t="shared" si="3"/>
        <v>5.6071529887337492</v>
      </c>
      <c r="M8" s="21">
        <f t="shared" si="4"/>
        <v>90.361840272351685</v>
      </c>
      <c r="N8" s="21">
        <f t="shared" si="5"/>
        <v>0</v>
      </c>
      <c r="O8" s="21">
        <f t="shared" si="6"/>
        <v>0</v>
      </c>
      <c r="AB8" s="17" t="e">
        <f>'Conversion Deio3'!M8\</f>
        <v>#NAME?</v>
      </c>
    </row>
    <row r="9" spans="1:28" s="17" customFormat="1" x14ac:dyDescent="0.25">
      <c r="A9" s="19" t="s">
        <v>81</v>
      </c>
      <c r="B9" s="19">
        <f>250837+221294+188172</f>
        <v>660303</v>
      </c>
      <c r="C9" s="19">
        <f>2710594+2834529</f>
        <v>5545123</v>
      </c>
      <c r="D9" s="19">
        <v>796888</v>
      </c>
      <c r="E9" s="19">
        <v>5757732</v>
      </c>
      <c r="F9" s="19"/>
      <c r="G9" s="19"/>
      <c r="H9" s="19">
        <f t="shared" si="0"/>
        <v>12760046</v>
      </c>
      <c r="I9" s="19"/>
      <c r="J9" s="21">
        <f t="shared" si="1"/>
        <v>5.1747697461278745</v>
      </c>
      <c r="K9" s="21">
        <f t="shared" si="2"/>
        <v>43.456920139629588</v>
      </c>
      <c r="L9" s="21">
        <f t="shared" si="3"/>
        <v>6.2451812477792013</v>
      </c>
      <c r="M9" s="21">
        <f t="shared" si="4"/>
        <v>45.123128866463333</v>
      </c>
      <c r="N9" s="21">
        <f t="shared" si="5"/>
        <v>0</v>
      </c>
      <c r="O9" s="21">
        <f t="shared" si="6"/>
        <v>0</v>
      </c>
    </row>
    <row r="10" spans="1:28" s="17" customFormat="1" x14ac:dyDescent="0.25">
      <c r="A10" s="19" t="s">
        <v>82</v>
      </c>
      <c r="B10" s="19">
        <v>636988</v>
      </c>
      <c r="C10" s="19">
        <v>5210886</v>
      </c>
      <c r="D10" s="29">
        <v>672858</v>
      </c>
      <c r="E10" s="19">
        <v>6752099</v>
      </c>
      <c r="F10" s="19"/>
      <c r="G10" s="19"/>
      <c r="H10" s="19">
        <f t="shared" si="0"/>
        <v>13272831</v>
      </c>
      <c r="I10" s="19"/>
      <c r="J10" s="21">
        <f t="shared" si="1"/>
        <v>4.7991871515579456</v>
      </c>
      <c r="K10" s="21">
        <f t="shared" si="2"/>
        <v>39.259793182027252</v>
      </c>
      <c r="L10" s="21">
        <f t="shared" si="3"/>
        <v>5.0694384641829613</v>
      </c>
      <c r="M10" s="21">
        <f t="shared" si="4"/>
        <v>50.871581202231845</v>
      </c>
      <c r="N10" s="21">
        <f t="shared" si="5"/>
        <v>0</v>
      </c>
      <c r="O10" s="21">
        <f t="shared" si="6"/>
        <v>0</v>
      </c>
    </row>
    <row r="11" spans="1:28" s="17" customFormat="1" x14ac:dyDescent="0.25">
      <c r="A11" s="19" t="s">
        <v>83</v>
      </c>
      <c r="B11" s="19">
        <f>220159+106675+218241</f>
        <v>545075</v>
      </c>
      <c r="C11" s="19">
        <v>3219368</v>
      </c>
      <c r="D11" s="19">
        <f>464429+134742+311862</f>
        <v>911033</v>
      </c>
      <c r="E11" s="19">
        <v>7621855</v>
      </c>
      <c r="F11" s="19"/>
      <c r="G11" s="19"/>
      <c r="H11" s="19">
        <f t="shared" si="0"/>
        <v>12297331</v>
      </c>
      <c r="I11" s="19"/>
      <c r="J11" s="21">
        <f t="shared" si="1"/>
        <v>4.4324658740990213</v>
      </c>
      <c r="K11" s="21">
        <f t="shared" si="2"/>
        <v>26.179404295127128</v>
      </c>
      <c r="L11" s="21">
        <f t="shared" si="3"/>
        <v>7.4083799159346047</v>
      </c>
      <c r="M11" s="21">
        <f t="shared" si="4"/>
        <v>61.979749914839246</v>
      </c>
      <c r="N11" s="21">
        <f t="shared" si="5"/>
        <v>0</v>
      </c>
      <c r="O11" s="21">
        <f t="shared" si="6"/>
        <v>0</v>
      </c>
    </row>
    <row r="12" spans="1:28" s="17" customFormat="1" x14ac:dyDescent="0.25">
      <c r="A12" s="19" t="s">
        <v>84</v>
      </c>
      <c r="B12" s="19">
        <v>633022</v>
      </c>
      <c r="C12" s="19">
        <v>3331127</v>
      </c>
      <c r="D12" s="19">
        <v>973502</v>
      </c>
      <c r="E12" s="19">
        <v>7852324</v>
      </c>
      <c r="F12" s="19"/>
      <c r="G12" s="19"/>
      <c r="H12" s="19">
        <f t="shared" si="0"/>
        <v>12789975</v>
      </c>
      <c r="I12" s="19"/>
      <c r="J12" s="21">
        <f t="shared" si="1"/>
        <v>4.9493607297903237</v>
      </c>
      <c r="K12" s="21">
        <f t="shared" si="2"/>
        <v>26.044828078240968</v>
      </c>
      <c r="L12" s="21">
        <f t="shared" si="3"/>
        <v>7.6114456830447281</v>
      </c>
      <c r="M12" s="21">
        <f t="shared" si="4"/>
        <v>61.394365508923975</v>
      </c>
      <c r="N12" s="21">
        <f t="shared" si="5"/>
        <v>0</v>
      </c>
      <c r="O12" s="21">
        <f t="shared" si="6"/>
        <v>0</v>
      </c>
    </row>
    <row r="13" spans="1:28" x14ac:dyDescent="0.25">
      <c r="A13" s="19" t="s">
        <v>85</v>
      </c>
      <c r="B13" s="19">
        <v>548155</v>
      </c>
      <c r="C13" s="19">
        <v>4812013</v>
      </c>
      <c r="D13" s="19">
        <f>376495+476511</f>
        <v>853006</v>
      </c>
      <c r="E13" s="19">
        <v>6335597</v>
      </c>
      <c r="F13" s="11"/>
      <c r="G13" s="19"/>
      <c r="H13" s="19">
        <f t="shared" si="0"/>
        <v>12548771</v>
      </c>
      <c r="I13" s="11"/>
      <c r="J13" s="18">
        <f t="shared" ref="J13:J16" si="7">(B13/H13)*100</f>
        <v>4.368196694321699</v>
      </c>
      <c r="K13" s="18">
        <f t="shared" ref="K13:K16" si="8">(C13/H13)*100</f>
        <v>38.346488273632531</v>
      </c>
      <c r="L13" s="18">
        <f t="shared" ref="L13:L16" si="9">(D13/H13)*100</f>
        <v>6.7975262278672552</v>
      </c>
      <c r="M13" s="18">
        <f t="shared" ref="M13:M16" si="10">(E13/H13)*100</f>
        <v>50.487788804178514</v>
      </c>
      <c r="N13" s="18">
        <f t="shared" ref="N13:N16" si="11">(F13/H13)*100</f>
        <v>0</v>
      </c>
      <c r="O13" s="18">
        <f t="shared" ref="O13:O16" si="12">(G13/H13)*100</f>
        <v>0</v>
      </c>
    </row>
    <row r="14" spans="1:28" x14ac:dyDescent="0.25">
      <c r="A14" s="19" t="s">
        <v>86</v>
      </c>
      <c r="B14" s="19">
        <f>314660+324222</f>
        <v>638882</v>
      </c>
      <c r="C14" s="19">
        <v>5364481</v>
      </c>
      <c r="D14" s="19">
        <f>478045+237731+248994</f>
        <v>964770</v>
      </c>
      <c r="E14" s="19">
        <v>6282435</v>
      </c>
      <c r="F14" s="19"/>
      <c r="G14" s="19"/>
      <c r="H14" s="11">
        <f t="shared" ref="H14:H16" si="13">SUM(B14:G14)</f>
        <v>13250568</v>
      </c>
      <c r="I14" s="11"/>
      <c r="J14" s="18">
        <f t="shared" si="7"/>
        <v>4.8215442538010445</v>
      </c>
      <c r="K14" s="18">
        <f t="shared" si="8"/>
        <v>40.484913552385073</v>
      </c>
      <c r="L14" s="18">
        <f t="shared" si="9"/>
        <v>7.2809708987569444</v>
      </c>
      <c r="M14" s="18">
        <f t="shared" si="10"/>
        <v>47.412571295056935</v>
      </c>
      <c r="N14" s="18">
        <f t="shared" si="11"/>
        <v>0</v>
      </c>
      <c r="O14" s="18">
        <f t="shared" si="12"/>
        <v>0</v>
      </c>
    </row>
    <row r="15" spans="1:28" x14ac:dyDescent="0.25">
      <c r="A15" s="19" t="s">
        <v>87</v>
      </c>
      <c r="B15" s="19">
        <f>393897+340244</f>
        <v>734141</v>
      </c>
      <c r="C15" s="19">
        <v>5027114</v>
      </c>
      <c r="D15" s="19">
        <f>525394+877810</f>
        <v>1403204</v>
      </c>
      <c r="E15" s="19">
        <v>5972748</v>
      </c>
      <c r="F15" s="11"/>
      <c r="G15" s="19"/>
      <c r="H15" s="19">
        <f t="shared" si="13"/>
        <v>13137207</v>
      </c>
      <c r="I15" s="11"/>
      <c r="J15" s="18">
        <f t="shared" si="7"/>
        <v>5.5882578389759709</v>
      </c>
      <c r="K15" s="18">
        <f t="shared" si="8"/>
        <v>38.266231170750373</v>
      </c>
      <c r="L15" s="18">
        <f t="shared" si="9"/>
        <v>10.681144020947528</v>
      </c>
      <c r="M15" s="18">
        <f t="shared" si="10"/>
        <v>45.464366969326129</v>
      </c>
      <c r="N15" s="18">
        <f t="shared" si="11"/>
        <v>0</v>
      </c>
      <c r="O15" s="18">
        <f t="shared" si="12"/>
        <v>0</v>
      </c>
    </row>
    <row r="16" spans="1:28" x14ac:dyDescent="0.25">
      <c r="A16" s="19" t="s">
        <v>88</v>
      </c>
      <c r="B16" s="19">
        <f>223546+467572</f>
        <v>691118</v>
      </c>
      <c r="C16" s="19">
        <v>4770974</v>
      </c>
      <c r="D16" s="19">
        <v>1204585</v>
      </c>
      <c r="E16" s="19">
        <v>5736887</v>
      </c>
      <c r="F16" s="11"/>
      <c r="G16" s="19"/>
      <c r="H16" s="11">
        <f t="shared" si="13"/>
        <v>12403564</v>
      </c>
      <c r="I16" s="11"/>
      <c r="J16" s="18">
        <f t="shared" si="7"/>
        <v>5.571930777315294</v>
      </c>
      <c r="K16" s="18">
        <f t="shared" si="8"/>
        <v>38.464541320543034</v>
      </c>
      <c r="L16" s="18">
        <f t="shared" si="9"/>
        <v>9.7116038583749003</v>
      </c>
      <c r="M16" s="18">
        <f t="shared" si="10"/>
        <v>46.25192404376677</v>
      </c>
      <c r="N16" s="18">
        <f t="shared" si="11"/>
        <v>0</v>
      </c>
      <c r="O16" s="18">
        <f t="shared" si="12"/>
        <v>0</v>
      </c>
    </row>
    <row r="17" spans="1:15" x14ac:dyDescent="0.25">
      <c r="A17" s="19" t="s">
        <v>89</v>
      </c>
      <c r="B17" s="19">
        <v>617338</v>
      </c>
      <c r="C17" s="19"/>
      <c r="D17" s="19">
        <v>2311503</v>
      </c>
      <c r="E17" s="19">
        <v>9786129</v>
      </c>
      <c r="F17" s="11"/>
      <c r="G17" s="19"/>
      <c r="H17" s="19">
        <f t="shared" ref="H17:H28" si="14">SUM(B17:G17)</f>
        <v>12714970</v>
      </c>
      <c r="I17" s="11"/>
      <c r="J17" s="18">
        <f t="shared" ref="J17:J28" si="15">(B17/H17)*100</f>
        <v>4.8552061074465769</v>
      </c>
      <c r="K17" s="18">
        <f t="shared" ref="K17:K28" si="16">(C17/H17)*100</f>
        <v>0</v>
      </c>
      <c r="L17" s="18">
        <f t="shared" ref="L17:L28" si="17">(D17/H17)*100</f>
        <v>18.179382255719045</v>
      </c>
      <c r="M17" s="18">
        <f t="shared" ref="M17:M28" si="18">(E17/H17)*100</f>
        <v>76.965411636834375</v>
      </c>
      <c r="N17" s="18">
        <f t="shared" ref="N17:N28" si="19">(F17/H17)*100</f>
        <v>0</v>
      </c>
      <c r="O17" s="18">
        <f t="shared" ref="O17:O28" si="20">(G17/H17)*100</f>
        <v>0</v>
      </c>
    </row>
    <row r="18" spans="1:15" x14ac:dyDescent="0.25">
      <c r="A18" s="19" t="s">
        <v>90</v>
      </c>
      <c r="B18" s="19">
        <f>101622+73741+90150</f>
        <v>265513</v>
      </c>
      <c r="C18" s="11"/>
      <c r="D18" s="19">
        <v>2070220</v>
      </c>
      <c r="E18" s="19">
        <v>8962883</v>
      </c>
      <c r="F18" s="11"/>
      <c r="G18" s="19"/>
      <c r="H18" s="11">
        <f t="shared" si="14"/>
        <v>11298616</v>
      </c>
      <c r="I18" s="11"/>
      <c r="J18" s="18">
        <f t="shared" si="15"/>
        <v>2.349960384528512</v>
      </c>
      <c r="K18" s="18">
        <f t="shared" si="16"/>
        <v>0</v>
      </c>
      <c r="L18" s="18">
        <f t="shared" si="17"/>
        <v>18.322775108030932</v>
      </c>
      <c r="M18" s="18">
        <f t="shared" si="18"/>
        <v>79.32726450744056</v>
      </c>
      <c r="N18" s="18">
        <f t="shared" si="19"/>
        <v>0</v>
      </c>
      <c r="O18" s="18">
        <f t="shared" si="20"/>
        <v>0</v>
      </c>
    </row>
    <row r="19" spans="1:15" x14ac:dyDescent="0.25">
      <c r="A19" s="19" t="s">
        <v>91</v>
      </c>
      <c r="B19" s="19">
        <v>592756</v>
      </c>
      <c r="C19" s="19"/>
      <c r="D19" s="19">
        <f>405382+174514</f>
        <v>579896</v>
      </c>
      <c r="E19" s="19">
        <v>11345781</v>
      </c>
      <c r="F19" s="19"/>
      <c r="G19" s="19"/>
      <c r="H19" s="19">
        <f t="shared" si="14"/>
        <v>12518433</v>
      </c>
      <c r="I19" s="11"/>
      <c r="J19" s="18">
        <f t="shared" si="15"/>
        <v>4.7350654830360961</v>
      </c>
      <c r="K19" s="18">
        <f t="shared" si="16"/>
        <v>0</v>
      </c>
      <c r="L19" s="18">
        <f t="shared" si="17"/>
        <v>4.6323369706096598</v>
      </c>
      <c r="M19" s="18">
        <f t="shared" si="18"/>
        <v>90.632597546354248</v>
      </c>
      <c r="N19" s="18">
        <f t="shared" si="19"/>
        <v>0</v>
      </c>
      <c r="O19" s="18">
        <f t="shared" si="20"/>
        <v>0</v>
      </c>
    </row>
    <row r="20" spans="1:15" x14ac:dyDescent="0.25">
      <c r="A20" s="19" t="s">
        <v>92</v>
      </c>
      <c r="B20" s="19">
        <v>605790</v>
      </c>
      <c r="C20" s="11"/>
      <c r="D20" s="19">
        <f>165507+74297+171792</f>
        <v>411596</v>
      </c>
      <c r="E20" s="19">
        <v>11134026</v>
      </c>
      <c r="F20" s="19"/>
      <c r="G20" s="19"/>
      <c r="H20" s="11">
        <f t="shared" si="14"/>
        <v>12151412</v>
      </c>
      <c r="I20" s="11"/>
      <c r="J20" s="18">
        <f t="shared" si="15"/>
        <v>4.985346558901961</v>
      </c>
      <c r="K20" s="18">
        <f t="shared" si="16"/>
        <v>0</v>
      </c>
      <c r="L20" s="18">
        <f t="shared" si="17"/>
        <v>3.3872277559184067</v>
      </c>
      <c r="M20" s="18">
        <f t="shared" si="18"/>
        <v>91.627425685179631</v>
      </c>
      <c r="N20" s="18">
        <f t="shared" si="19"/>
        <v>0</v>
      </c>
      <c r="O20" s="18">
        <f t="shared" si="20"/>
        <v>0</v>
      </c>
    </row>
    <row r="21" spans="1:15" x14ac:dyDescent="0.25">
      <c r="A21" s="19" t="s">
        <v>93</v>
      </c>
      <c r="B21" s="19"/>
      <c r="C21" s="19"/>
      <c r="D21" s="19"/>
      <c r="E21" s="19"/>
      <c r="F21" s="11"/>
      <c r="G21" s="11"/>
      <c r="H21" s="19">
        <f t="shared" si="14"/>
        <v>0</v>
      </c>
      <c r="I21" s="11"/>
      <c r="J21" s="18" t="e">
        <f t="shared" si="15"/>
        <v>#DIV/0!</v>
      </c>
      <c r="K21" s="18" t="e">
        <f t="shared" si="16"/>
        <v>#DIV/0!</v>
      </c>
      <c r="L21" s="18" t="e">
        <f t="shared" si="17"/>
        <v>#DIV/0!</v>
      </c>
      <c r="M21" s="18" t="e">
        <f t="shared" si="18"/>
        <v>#DIV/0!</v>
      </c>
      <c r="N21" s="18" t="e">
        <f t="shared" si="19"/>
        <v>#DIV/0!</v>
      </c>
      <c r="O21" s="18" t="e">
        <f t="shared" si="20"/>
        <v>#DIV/0!</v>
      </c>
    </row>
    <row r="22" spans="1:15" x14ac:dyDescent="0.25">
      <c r="A22" s="19" t="s">
        <v>94</v>
      </c>
      <c r="B22" s="19"/>
      <c r="C22" s="19"/>
      <c r="D22" s="19"/>
      <c r="E22" s="19"/>
      <c r="F22" s="11"/>
      <c r="G22" s="11"/>
      <c r="H22" s="11">
        <f t="shared" si="14"/>
        <v>0</v>
      </c>
      <c r="I22" s="11"/>
      <c r="J22" s="18" t="e">
        <f>(B22/H22)*100</f>
        <v>#DIV/0!</v>
      </c>
      <c r="K22" s="18" t="e">
        <f>(C22/H22)*100</f>
        <v>#DIV/0!</v>
      </c>
      <c r="L22" s="18" t="e">
        <f>(D22/H22)*100</f>
        <v>#DIV/0!</v>
      </c>
      <c r="M22" s="18" t="e">
        <f>(E22/H22)*100</f>
        <v>#DIV/0!</v>
      </c>
      <c r="N22" s="18" t="e">
        <f t="shared" si="19"/>
        <v>#DIV/0!</v>
      </c>
      <c r="O22" s="18" t="e">
        <f t="shared" si="20"/>
        <v>#DIV/0!</v>
      </c>
    </row>
    <row r="23" spans="1:15" x14ac:dyDescent="0.25">
      <c r="A23" s="19" t="s">
        <v>95</v>
      </c>
      <c r="B23" s="19">
        <f>315067+193550</f>
        <v>508617</v>
      </c>
      <c r="C23" s="19"/>
      <c r="D23" s="19">
        <v>2202842</v>
      </c>
      <c r="E23" s="19">
        <v>8422191</v>
      </c>
      <c r="F23" s="11"/>
      <c r="G23" s="11"/>
      <c r="H23" s="19">
        <f t="shared" si="14"/>
        <v>11133650</v>
      </c>
      <c r="I23" s="11"/>
      <c r="J23" s="18">
        <f t="shared" si="15"/>
        <v>4.5682862313796466</v>
      </c>
      <c r="K23" s="18">
        <f t="shared" si="16"/>
        <v>0</v>
      </c>
      <c r="L23" s="18">
        <f t="shared" si="17"/>
        <v>19.785443228411168</v>
      </c>
      <c r="M23" s="18">
        <f t="shared" si="18"/>
        <v>75.646270540209187</v>
      </c>
      <c r="N23" s="18">
        <f t="shared" si="19"/>
        <v>0</v>
      </c>
      <c r="O23" s="18">
        <f t="shared" si="20"/>
        <v>0</v>
      </c>
    </row>
    <row r="24" spans="1:15" x14ac:dyDescent="0.25">
      <c r="A24" s="19" t="s">
        <v>96</v>
      </c>
      <c r="B24" s="19">
        <v>458682</v>
      </c>
      <c r="C24" s="19"/>
      <c r="D24" s="19">
        <v>2114477</v>
      </c>
      <c r="E24" s="19">
        <v>9688038</v>
      </c>
      <c r="F24" s="11"/>
      <c r="G24" s="11"/>
      <c r="H24" s="11">
        <f>SUM(B24:G24)</f>
        <v>12261197</v>
      </c>
      <c r="I24" s="11"/>
      <c r="J24" s="18">
        <f>(B24/H24)*100</f>
        <v>3.7409235003727614</v>
      </c>
      <c r="K24" s="18">
        <f>(C24/H24)*100</f>
        <v>0</v>
      </c>
      <c r="L24" s="18">
        <f>(D24/H24)*100</f>
        <v>17.245273850505789</v>
      </c>
      <c r="M24" s="18">
        <f>(E24/H24)*100</f>
        <v>79.013802649121459</v>
      </c>
      <c r="N24" s="18">
        <f t="shared" si="19"/>
        <v>0</v>
      </c>
      <c r="O24" s="18">
        <f t="shared" si="20"/>
        <v>0</v>
      </c>
    </row>
    <row r="25" spans="1:15" x14ac:dyDescent="0.25">
      <c r="A25" s="19" t="s">
        <v>97</v>
      </c>
      <c r="B25" s="19">
        <f>288551+212698</f>
        <v>501249</v>
      </c>
      <c r="C25" s="11"/>
      <c r="D25" s="19">
        <v>1428029</v>
      </c>
      <c r="E25" s="19">
        <v>10863474</v>
      </c>
      <c r="F25" s="11"/>
      <c r="G25" s="11"/>
      <c r="H25" s="19">
        <f t="shared" si="14"/>
        <v>12792752</v>
      </c>
      <c r="I25" s="11"/>
      <c r="J25" s="18">
        <f t="shared" si="15"/>
        <v>3.9182265082603021</v>
      </c>
      <c r="K25" s="18">
        <f t="shared" si="16"/>
        <v>0</v>
      </c>
      <c r="L25" s="18">
        <f t="shared" si="17"/>
        <v>11.16279749658244</v>
      </c>
      <c r="M25" s="18">
        <f t="shared" si="18"/>
        <v>84.918975995157254</v>
      </c>
      <c r="N25" s="18">
        <f t="shared" si="19"/>
        <v>0</v>
      </c>
      <c r="O25" s="18">
        <f t="shared" si="20"/>
        <v>0</v>
      </c>
    </row>
    <row r="26" spans="1:15" x14ac:dyDescent="0.25">
      <c r="A26" s="19" t="s">
        <v>98</v>
      </c>
      <c r="B26" s="19">
        <f>222319+184542</f>
        <v>406861</v>
      </c>
      <c r="C26" s="19"/>
      <c r="D26" s="19">
        <v>1579763</v>
      </c>
      <c r="E26" s="19">
        <v>10569246</v>
      </c>
      <c r="F26" s="11"/>
      <c r="G26" s="11"/>
      <c r="H26" s="11">
        <f t="shared" si="14"/>
        <v>12555870</v>
      </c>
      <c r="I26" s="11"/>
      <c r="J26" s="18">
        <f t="shared" si="15"/>
        <v>3.240404687210046</v>
      </c>
      <c r="K26" s="18">
        <f t="shared" si="16"/>
        <v>0</v>
      </c>
      <c r="L26" s="18">
        <f t="shared" si="17"/>
        <v>12.58186808241882</v>
      </c>
      <c r="M26" s="18">
        <f t="shared" si="18"/>
        <v>84.177727230371133</v>
      </c>
      <c r="N26" s="18">
        <f t="shared" si="19"/>
        <v>0</v>
      </c>
      <c r="O26" s="18">
        <f t="shared" si="20"/>
        <v>0</v>
      </c>
    </row>
    <row r="27" spans="1:15" x14ac:dyDescent="0.25">
      <c r="A27" s="19" t="s">
        <v>99</v>
      </c>
      <c r="B27" s="19">
        <v>453532</v>
      </c>
      <c r="C27" s="11"/>
      <c r="D27" s="19">
        <v>1883752</v>
      </c>
      <c r="E27" s="19">
        <v>9863088</v>
      </c>
      <c r="F27" s="11"/>
      <c r="G27" s="11"/>
      <c r="H27" s="19">
        <f t="shared" si="14"/>
        <v>12200372</v>
      </c>
      <c r="I27" s="11"/>
      <c r="J27" s="18">
        <f t="shared" si="15"/>
        <v>3.7173620607633935</v>
      </c>
      <c r="K27" s="18">
        <f t="shared" si="16"/>
        <v>0</v>
      </c>
      <c r="L27" s="18">
        <f t="shared" si="17"/>
        <v>15.440119366852093</v>
      </c>
      <c r="M27" s="18">
        <f t="shared" si="18"/>
        <v>80.84251857238452</v>
      </c>
      <c r="N27" s="18">
        <f t="shared" si="19"/>
        <v>0</v>
      </c>
      <c r="O27" s="18">
        <f t="shared" si="20"/>
        <v>0</v>
      </c>
    </row>
    <row r="28" spans="1:15" x14ac:dyDescent="0.25">
      <c r="A28" s="19" t="s">
        <v>100</v>
      </c>
      <c r="B28" s="19">
        <v>439282</v>
      </c>
      <c r="C28" s="11"/>
      <c r="D28" s="19">
        <v>2169755</v>
      </c>
      <c r="E28" s="19">
        <v>9534169</v>
      </c>
      <c r="F28" s="11"/>
      <c r="G28" s="11"/>
      <c r="H28" s="11">
        <f t="shared" si="14"/>
        <v>12143206</v>
      </c>
      <c r="I28" s="11"/>
      <c r="J28" s="18">
        <f t="shared" si="15"/>
        <v>3.6175125415808642</v>
      </c>
      <c r="K28" s="18">
        <f t="shared" si="16"/>
        <v>0</v>
      </c>
      <c r="L28" s="18">
        <f t="shared" si="17"/>
        <v>17.868057249461138</v>
      </c>
      <c r="M28" s="18">
        <f t="shared" si="18"/>
        <v>78.514430208958004</v>
      </c>
      <c r="N28" s="18">
        <f t="shared" si="19"/>
        <v>0</v>
      </c>
      <c r="O28" s="18">
        <f t="shared" si="20"/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1598018C-8F6A-4CD9-B24B-043B88BB1647}">
  <ds:schemaRefs/>
</ds:datastoreItem>
</file>

<file path=customXml/itemProps2.xml><?xml version="1.0" encoding="utf-8"?>
<ds:datastoreItem xmlns:ds="http://schemas.openxmlformats.org/officeDocument/2006/customXml" ds:itemID="{DE586783-2700-4C39-BFBA-F026E6AE26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Cells</vt:lpstr>
      <vt:lpstr>Layout</vt:lpstr>
      <vt:lpstr>Conversion Deio3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N.T.O.M. Dierichs</cp:lastModifiedBy>
  <cp:lastPrinted>2023-05-03T06:09:34Z</cp:lastPrinted>
  <dcterms:created xsi:type="dcterms:W3CDTF">2022-11-28T07:47:02Z</dcterms:created>
  <dcterms:modified xsi:type="dcterms:W3CDTF">2024-05-01T15:13:27Z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638049558581124840</vt:lpwstr>
  </property>
  <property fmtid="{D5CDD505-2E9C-101B-9397-08002B2CF9AE}" pid="4" name="TemplafyUserProfileId">
    <vt:lpwstr>637943292935123484</vt:lpwstr>
  </property>
  <property fmtid="{D5CDD505-2E9C-101B-9397-08002B2CF9AE}" pid="5" name="TemplafyFromBlank">
    <vt:bool>true</vt:bool>
  </property>
</Properties>
</file>