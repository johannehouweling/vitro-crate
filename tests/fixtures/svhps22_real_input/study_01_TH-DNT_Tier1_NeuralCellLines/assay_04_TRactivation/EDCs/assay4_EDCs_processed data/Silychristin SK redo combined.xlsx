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1950" yWindow="1950" windowWidth="2160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C8" i="1"/>
  <c r="D7" i="1"/>
  <c r="L7" i="1" s="1"/>
  <c r="E7" i="1"/>
  <c r="F7" i="1"/>
  <c r="C7" i="1"/>
  <c r="K7" i="1" s="1"/>
  <c r="N7" i="1" l="1"/>
  <c r="M7" i="1"/>
</calcChain>
</file>

<file path=xl/sharedStrings.xml><?xml version="1.0" encoding="utf-8"?>
<sst xmlns="http://schemas.openxmlformats.org/spreadsheetml/2006/main" count="27" uniqueCount="19">
  <si>
    <t>Sk silychristin redo KLF9</t>
  </si>
  <si>
    <t>T3</t>
  </si>
  <si>
    <t>Sily -T3</t>
  </si>
  <si>
    <t>Sily +T3</t>
  </si>
  <si>
    <t>SK n1 -1</t>
  </si>
  <si>
    <t>SK n1 -2</t>
  </si>
  <si>
    <t>SK n1 -3</t>
  </si>
  <si>
    <t>SK n2 -1</t>
  </si>
  <si>
    <t>SK n2 -2</t>
  </si>
  <si>
    <t>SK n2 -3</t>
  </si>
  <si>
    <t>SK n3 -1</t>
  </si>
  <si>
    <t>SK n3 -2</t>
  </si>
  <si>
    <t>SK n3 -3</t>
  </si>
  <si>
    <t>Control</t>
  </si>
  <si>
    <t>Average fold change</t>
  </si>
  <si>
    <t>SK n1</t>
  </si>
  <si>
    <t>SK n2</t>
  </si>
  <si>
    <t>SK n3</t>
  </si>
  <si>
    <t>SK silychristin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</si>
</sst>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2" xfId="1" applyFont="1" applyBorder="1"/>
    <xf numFmtId="0" fontId="4" fillId="0" borderId="3" xfId="1" applyFont="1" applyBorder="1"/>
    <xf numFmtId="0" fontId="1" fillId="0" borderId="4" xfId="0" applyFon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6" xfId="0" applyNumberFormat="1" applyBorder="1"/>
    <xf numFmtId="0" fontId="1" fillId="0" borderId="7" xfId="0" applyFon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3" fillId="0" borderId="5" xfId="1" applyNumberFormat="1" applyBorder="1"/>
    <xf numFmtId="164" fontId="3" fillId="0" borderId="2" xfId="1" applyNumberFormat="1" applyBorder="1"/>
    <xf numFmtId="164" fontId="3" fillId="0" borderId="3" xfId="1" applyNumberFormat="1" applyBorder="1"/>
    <xf numFmtId="164" fontId="3" fillId="0" borderId="4" xfId="1" applyNumberFormat="1" applyBorder="1"/>
    <xf numFmtId="164" fontId="3" fillId="0" borderId="0" xfId="1" applyNumberFormat="1" applyBorder="1"/>
    <xf numFmtId="164" fontId="3" fillId="0" borderId="6" xfId="1" applyNumberFormat="1" applyBorder="1"/>
    <xf numFmtId="0" fontId="2" fillId="0" borderId="10" xfId="0" applyFont="1" applyBorder="1"/>
    <xf numFmtId="0" fontId="2" fillId="0" borderId="1" xfId="0" applyFont="1" applyBorder="1"/>
    <xf numFmtId="0" fontId="4" fillId="0" borderId="11" xfId="1" applyFont="1" applyBorder="1"/>
    <xf numFmtId="0" fontId="4" fillId="0" borderId="12" xfId="1" applyFont="1" applyBorder="1"/>
    <xf numFmtId="164" fontId="0" fillId="0" borderId="13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1" fillId="0" borderId="5" xfId="0" applyFont="1" applyBorder="1"/>
    <xf numFmtId="164" fontId="3" fillId="0" borderId="7" xfId="1" applyNumberFormat="1" applyBorder="1"/>
    <xf numFmtId="164" fontId="3" fillId="0" borderId="8" xfId="1" applyNumberFormat="1" applyBorder="1"/>
    <xf numFmtId="164" fontId="3" fillId="0" borderId="9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Sheet1!$C$6:$F$6</c:f>
              <c:strCache>
                <c:ptCount val="4"/>
                <c:pt idx="0">
                  <c:v>Control</c:v>
                </c:pt>
                <c:pt idx="1">
                  <c:v>T3</c:v>
                </c:pt>
                <c:pt idx="2">
                  <c:v>Sily -T3</c:v>
                </c:pt>
                <c:pt idx="3">
                  <c:v>Sily +T3</c:v>
                </c:pt>
              </c:strCache>
            </c:strRef>
          </c:cat>
          <c:val>
            <c:numRef>
              <c:f>Sheet1!$C$7:$F$7</c:f>
              <c:numCache>
                <c:formatCode>#,##0.000</c:formatCode>
                <c:ptCount val="4"/>
                <c:pt idx="0">
                  <c:v>1.0252372347759791</c:v>
                </c:pt>
                <c:pt idx="1">
                  <c:v>2.7359159212647128</c:v>
                </c:pt>
                <c:pt idx="2">
                  <c:v>1.120349627952238</c:v>
                </c:pt>
                <c:pt idx="3">
                  <c:v>1.6182416934288628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4-421B-B893-60D9508AF77C}"/>
            </c:ext>
          </c:extLst>
        </c:ser>
        <c:ser>
          <c:idx val="1"/>
          <c:order val="1"/>
          <c:tx>
            <c:v>n2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Sheet1!$C$6:$F$6</c:f>
              <c:strCache>
                <c:ptCount val="4"/>
                <c:pt idx="0">
                  <c:v>Control</c:v>
                </c:pt>
                <c:pt idx="1">
                  <c:v>T3</c:v>
                </c:pt>
                <c:pt idx="2">
                  <c:v>Sily -T3</c:v>
                </c:pt>
                <c:pt idx="3">
                  <c:v>Sily +T3</c:v>
                </c:pt>
              </c:strCache>
            </c:strRef>
          </c:cat>
          <c:val>
            <c:numRef>
              <c:f>Sheet1!$C$8:$F$8</c:f>
              <c:numCache>
                <c:formatCode>#,##0.000</c:formatCode>
                <c:ptCount val="4"/>
                <c:pt idx="0">
                  <c:v>1.0154561410324179</c:v>
                </c:pt>
                <c:pt idx="1">
                  <c:v>2.0714193211591163</c:v>
                </c:pt>
                <c:pt idx="2">
                  <c:v>0.79616521428172415</c:v>
                </c:pt>
                <c:pt idx="3">
                  <c:v>1.1761623811524506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54-421B-B893-60D9508AF77C}"/>
            </c:ext>
          </c:extLst>
        </c:ser>
        <c:ser>
          <c:idx val="2"/>
          <c:order val="2"/>
          <c:tx>
            <c:v>n3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Sheet1!$C$9:$F$9</c:f>
              <c:numCache>
                <c:formatCode>#,##0.000</c:formatCode>
                <c:ptCount val="4"/>
                <c:pt idx="0">
                  <c:v>1.0041688537528495</c:v>
                </c:pt>
                <c:pt idx="1">
                  <c:v>3.6994990023341661</c:v>
                </c:pt>
                <c:pt idx="2">
                  <c:v>1.219173485811099</c:v>
                </c:pt>
                <c:pt idx="3">
                  <c:v>2.4116023149407595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1-43CB-9D7F-A3DAFC879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306752"/>
        <c:axId val="481307408"/>
      </c:barChart>
      <c:catAx>
        <c:axId val="4813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07408"/>
        <c:crosses val="autoZero"/>
        <c:auto val="1"/>
        <c:lblAlgn val="ctr"/>
        <c:lblOffset val="100"/>
        <c:noMultiLvlLbl val="0"/>
      </c:catAx>
      <c:valAx>
        <c:axId val="4813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Sheet1!$J$7</c:f>
              <c:strCache>
                <c:ptCount val="1"/>
                <c:pt idx="0">
                  <c:v>SK silychristin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Sheet1!$K$6:$N$6</c:f>
              <c:strCache>
                <c:ptCount val="4"/>
                <c:pt idx="0">
                  <c:v>Control</c:v>
                </c:pt>
                <c:pt idx="1">
                  <c:v>T3</c:v>
                </c:pt>
                <c:pt idx="2">
                  <c:v>Sily -T3</c:v>
                </c:pt>
                <c:pt idx="3">
                  <c:v>Sily +T3</c:v>
                </c:pt>
              </c:strCache>
            </c:strRef>
          </c:cat>
          <c:val>
            <c:numRef>
              <c:f>Sheet1!$K$7:$N$7</c:f>
              <c:numCache>
                <c:formatCode>#,##0.000</c:formatCode>
                <c:ptCount val="4"/>
                <c:pt idx="0">
                  <c:v>1.0149540765204155</c:v>
                </c:pt>
                <c:pt idx="1">
                  <c:v>2.8356114149193314</c:v>
                </c:pt>
                <c:pt idx="2">
                  <c:v>1.045229442681687</c:v>
                </c:pt>
                <c:pt idx="3">
                  <c:v>1.7353354631740245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B-4B89-A70B-CABC68AB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52448"/>
        <c:axId val="772550808"/>
      </c:barChart>
      <c:catAx>
        <c:axId val="7725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50808"/>
        <c:crosses val="autoZero"/>
        <c:auto val="1"/>
        <c:lblAlgn val="ctr"/>
        <c:lblOffset val="100"/>
        <c:noMultiLvlLbl val="0"/>
      </c:catAx>
      <c:valAx>
        <c:axId val="77255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5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9</xdr:row>
      <xdr:rowOff>174812</xdr:rowOff>
    </xdr:from>
    <xdr:to>
      <xdr:col>7</xdr:col>
      <xdr:colOff>481852</xdr:colOff>
      <xdr:row>25</xdr:row>
      <xdr:rowOff>49305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56029</xdr:colOff>
      <xdr:row>10</xdr:row>
      <xdr:rowOff>17929</xdr:rowOff>
    </xdr:from>
    <xdr:to>
      <xdr:col>15</xdr:col>
      <xdr:colOff>168087</xdr:colOff>
      <xdr:row>25</xdr:row>
      <xdr:rowOff>71717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6"/>
  <sheetViews>
    <sheetView tabSelected="1" zoomScale="85" zoomScaleNormal="85" workbookViewId="0">
      <selection activeCell="W24" sqref="W24"/>
    </sheetView>
  </sheetViews>
  <sheetFormatPr defaultRowHeight="14.25"/>
  <cols>
    <col min="10" max="10" width="13.625" bestFit="1" customWidth="1"/>
    <col min="16" max="16" width="13.625" bestFit="1" customWidth="1"/>
  </cols>
  <sheetData>
    <row r="2" spans="2:22" ht="15">
      <c r="B2" s="1" t="s">
        <v>0</v>
      </c>
    </row>
    <row r="4" spans="2:22" ht="15">
      <c r="B4" s="1" t="s">
        <v>14</v>
      </c>
    </row>
    <row r="5" spans="2:22" ht="15" thickBot="1"/>
    <row r="6" spans="2:22" ht="15.75" thickBot="1">
      <c r="B6" s="2"/>
      <c r="C6" s="3" t="s">
        <v>13</v>
      </c>
      <c r="D6" s="3" t="s">
        <v>1</v>
      </c>
      <c r="E6" s="3" t="s">
        <v>2</v>
      </c>
      <c r="F6" s="4" t="s">
        <v>3</v>
      </c>
      <c r="J6" s="23"/>
      <c r="K6" s="24" t="s">
        <v>13</v>
      </c>
      <c r="L6" s="24" t="s">
        <v>1</v>
      </c>
      <c r="M6" s="24" t="s">
        <v>2</v>
      </c>
      <c r="N6" s="25" t="s">
        <v>3</v>
      </c>
    </row>
    <row r="7" spans="2:22" ht="15.75" thickBot="1">
      <c r="B7" s="29" t="s">
        <v>15</v>
      </c>
      <c r="C7" s="6">
        <f>AVERAGE(S8:S10)</f>
        <v>1.0252372347759791</v>
      </c>
      <c r="D7" s="7">
        <f>AVERAGE(T8:T10)</f>
        <v>2.7359159212647128</v>
      </c>
      <c r="E7" s="7">
        <f>AVERAGE(U8:U10)</f>
        <v>1.120349627952238</v>
      </c>
      <c r="F7" s="8">
        <f>AVERAGE(V8:V10)</f>
        <v>1.6182416934288628</v>
      </c>
      <c r="J7" s="22" t="s">
        <v>18</v>
      </c>
      <c r="K7" s="26">
        <f>AVERAGE(C7:C9)</f>
        <v>1.0149540765204155</v>
      </c>
      <c r="L7" s="27">
        <f>AVERAGE(D7:D9)</f>
        <v>2.8356114149193314</v>
      </c>
      <c r="M7" s="27">
        <f>AVERAGE(E7:E9)</f>
        <v>1.045229442681687</v>
      </c>
      <c r="N7" s="28">
        <f>AVERAGE(F7:F9)</f>
        <v>1.7353354631740245</v>
      </c>
      <c r="R7" s="2"/>
      <c r="S7" s="3" t="s">
        <v>13</v>
      </c>
      <c r="T7" s="3" t="s">
        <v>1</v>
      </c>
      <c r="U7" s="3" t="s">
        <v>2</v>
      </c>
      <c r="V7" s="4" t="s">
        <v>3</v>
      </c>
    </row>
    <row r="8" spans="2:22" ht="15">
      <c r="B8" s="5" t="s">
        <v>16</v>
      </c>
      <c r="C8" s="9">
        <f>AVERAGE(S11:S13)</f>
        <v>1.0154561410324179</v>
      </c>
      <c r="D8" s="10">
        <f>AVERAGE(T11:T13)</f>
        <v>2.0714193211591163</v>
      </c>
      <c r="E8" s="10">
        <f>AVERAGE(U11:U13)</f>
        <v>0.79616521428172415</v>
      </c>
      <c r="F8" s="11">
        <f>AVERAGE(V11:V13)</f>
        <v>1.1761623811524506</v>
      </c>
      <c r="R8" s="5" t="s">
        <v>4</v>
      </c>
      <c r="S8" s="6">
        <v>0.76255147860370764</v>
      </c>
      <c r="T8" s="7">
        <v>2.4452307414160992</v>
      </c>
      <c r="U8" s="7">
        <v>1.2411965143169645</v>
      </c>
      <c r="V8" s="8">
        <v>1.7577987064325977</v>
      </c>
    </row>
    <row r="9" spans="2:22" ht="15.75" thickBot="1">
      <c r="B9" s="12" t="s">
        <v>17</v>
      </c>
      <c r="C9" s="30">
        <v>1.0041688537528495</v>
      </c>
      <c r="D9" s="31">
        <v>3.6994990023341661</v>
      </c>
      <c r="E9" s="31">
        <v>1.219173485811099</v>
      </c>
      <c r="F9" s="32">
        <v>2.4116023149407595</v>
      </c>
      <c r="R9" s="5" t="s">
        <v>5</v>
      </c>
      <c r="S9" s="9">
        <v>1.3187241327734427</v>
      </c>
      <c r="T9" s="10">
        <v>2.2704594113346301</v>
      </c>
      <c r="U9" s="10">
        <v>1.0907799334410426</v>
      </c>
      <c r="V9" s="11">
        <v>1.5742873565246556</v>
      </c>
    </row>
    <row r="10" spans="2:22" ht="15.75" thickBot="1">
      <c r="R10" s="12" t="s">
        <v>6</v>
      </c>
      <c r="S10" s="13">
        <v>0.99443609295078639</v>
      </c>
      <c r="T10" s="14">
        <v>3.4920576110434083</v>
      </c>
      <c r="U10" s="14">
        <v>1.0290724360987071</v>
      </c>
      <c r="V10" s="15">
        <v>1.5226390173293354</v>
      </c>
    </row>
    <row r="11" spans="2:22" ht="15">
      <c r="R11" s="5" t="s">
        <v>7</v>
      </c>
      <c r="S11" s="16">
        <v>0.91152450893311088</v>
      </c>
      <c r="T11" s="17">
        <v>1.8881396654556497</v>
      </c>
      <c r="U11" s="17">
        <v>0.59497891219611165</v>
      </c>
      <c r="V11" s="18">
        <v>1.2821510931472677</v>
      </c>
    </row>
    <row r="12" spans="2:22" ht="15">
      <c r="R12" s="5" t="s">
        <v>8</v>
      </c>
      <c r="S12" s="19">
        <v>0.86168807900147948</v>
      </c>
      <c r="T12" s="20">
        <v>2.0554470892222541</v>
      </c>
      <c r="U12" s="20">
        <v>0.74532574192111845</v>
      </c>
      <c r="V12" s="21">
        <v>1.0671258221185187</v>
      </c>
    </row>
    <row r="13" spans="2:22" ht="15.75" thickBot="1">
      <c r="R13" s="12" t="s">
        <v>9</v>
      </c>
      <c r="S13" s="19">
        <v>1.2731558351626628</v>
      </c>
      <c r="T13" s="20">
        <v>2.270671208799445</v>
      </c>
      <c r="U13" s="20">
        <v>1.0481909887279426</v>
      </c>
      <c r="V13" s="21">
        <v>1.1792102281915657</v>
      </c>
    </row>
    <row r="14" spans="2:22" ht="15">
      <c r="R14" s="5" t="s">
        <v>10</v>
      </c>
      <c r="S14" s="16">
        <v>0.91043855580744959</v>
      </c>
      <c r="T14" s="17">
        <v>3.764956666701369</v>
      </c>
      <c r="U14" s="17">
        <v>1.2143592093817202</v>
      </c>
      <c r="V14" s="18">
        <v>1.7833764323056982</v>
      </c>
    </row>
    <row r="15" spans="2:22" ht="15">
      <c r="R15" s="5" t="s">
        <v>11</v>
      </c>
      <c r="S15" s="19">
        <v>0.97165696768043386</v>
      </c>
      <c r="T15" s="20">
        <v>4.7040329405127492</v>
      </c>
      <c r="U15" s="20">
        <v>1.3008990131767284</v>
      </c>
      <c r="V15" s="21">
        <v>2.3726501340625532</v>
      </c>
    </row>
    <row r="16" spans="2:22" ht="15.75" thickBot="1">
      <c r="R16" s="12" t="s">
        <v>12</v>
      </c>
      <c r="S16" s="30">
        <v>1.1304110377706647</v>
      </c>
      <c r="T16" s="31">
        <v>2.6295073997883809</v>
      </c>
      <c r="U16" s="31">
        <v>1.1422622348748486</v>
      </c>
      <c r="V16" s="32">
        <v>3.0787803784540269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AA36A76-3B54-468A-BBF8-2CAC56C26734}">
  <ds:schemaRefs/>
</ds:datastoreItem>
</file>

<file path=customXml/itemProps2.xml><?xml version="1.0" encoding="utf-8"?>
<ds:datastoreItem xmlns:ds="http://schemas.openxmlformats.org/officeDocument/2006/customXml" ds:itemID="{57BDFBEA-AC99-494E-B4AC-B406D5E20D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2024-08-01T22:35:02Z</dcterms:created>
  <dcterms:modified xsi:type="dcterms:W3CDTF">2024-10-31T10:44:04Z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970965601778925958</vt:lpwstr>
  </property>
  <property fmtid="{D5CDD505-2E9C-101B-9397-08002B2CF9AE}" pid="4" name="TemplafyUserProfileId">
    <vt:lpwstr>637804245525293210</vt:lpwstr>
  </property>
  <property fmtid="{D5CDD505-2E9C-101B-9397-08002B2CF9AE}" pid="5" name="TemplafyFromBlank">
    <vt:bool>true</vt:bool>
  </property>
</Properties>
</file>