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Nathalie\Protocols\"/>
    </mc:Choice>
  </mc:AlternateContent>
  <bookViews>
    <workbookView xWindow="0" yWindow="0" windowWidth="28800" windowHeight="12300"/>
  </bookViews>
  <sheets>
    <sheet name="Mix calculatio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  <c r="C4" i="1"/>
  <c r="C9" i="1" l="1"/>
  <c r="C10" i="1" s="1"/>
</calcChain>
</file>

<file path=xl/sharedStrings.xml><?xml version="1.0" encoding="utf-8"?>
<sst xmlns="http://schemas.openxmlformats.org/spreadsheetml/2006/main" count="117" uniqueCount="67">
  <si>
    <t>Bradford mix</t>
  </si>
  <si>
    <t>Samples from curve:</t>
  </si>
  <si>
    <t>Samples from assay:</t>
  </si>
  <si>
    <t>Total:</t>
  </si>
  <si>
    <t xml:space="preserve">Make extra mix: </t>
  </si>
  <si>
    <t>Total volume needed:</t>
  </si>
  <si>
    <t>ml</t>
  </si>
  <si>
    <t>Reagens (5X conc):</t>
  </si>
  <si>
    <t>Water:</t>
  </si>
  <si>
    <t>Proceed according protocol:</t>
  </si>
  <si>
    <t xml:space="preserve">2. Dilute 5X Biorad protein acid to a 1X solution in water. </t>
  </si>
  <si>
    <t>3. Pipette 5uL of your samples and standards in a 96 well ELISA plate.</t>
  </si>
  <si>
    <t>4. Add 250µl Bradford reagens, wait 3-6 minutes and read the plate at 598nm.</t>
  </si>
  <si>
    <t>5. Calculate the amount of protein (manually standard curve and all samples minus blanc) remembering to correct your samples for dilution giving amount of protein in mg/ml</t>
  </si>
  <si>
    <t xml:space="preserve">* This can be done before hand and be alliquoted, freezing and thawing causes degradation of the protein by NaOH. </t>
  </si>
  <si>
    <t xml:space="preserve">   Make curve in 0.1M NaOH, PBS or H2O but it should always be similar to the liquid your sample is in.</t>
  </si>
  <si>
    <t xml:space="preserve">EXAMPLE plate-set up </t>
  </si>
  <si>
    <t>Bij bradford ook een duplo per sample</t>
  </si>
  <si>
    <t>BSA 2 mg/mL</t>
  </si>
  <si>
    <t>T3 no BSA 2-1</t>
  </si>
  <si>
    <t>T3 no BSA 2-2</t>
  </si>
  <si>
    <t>T4 no BSA 2-1</t>
  </si>
  <si>
    <t>T4 no BSA 2-2</t>
  </si>
  <si>
    <t>T3 BSA 2-1</t>
  </si>
  <si>
    <t>BSA 1.5 mg/mL</t>
  </si>
  <si>
    <t>T3 no BSA 5-1</t>
  </si>
  <si>
    <t>T3 no BSA 5-2</t>
  </si>
  <si>
    <t>T4 no BSA 5-1</t>
  </si>
  <si>
    <t>T4 no BSA 5-2</t>
  </si>
  <si>
    <t>T3  BSA 5-1</t>
  </si>
  <si>
    <t>T3 BSA 5-1</t>
  </si>
  <si>
    <t>BSA 1 mg/mL</t>
  </si>
  <si>
    <t>T3 no BSA 10-1</t>
  </si>
  <si>
    <t>T3 no BSA 10-2</t>
  </si>
  <si>
    <t>T4 no BSA 10-1</t>
  </si>
  <si>
    <t>T4 no BSA 10-2</t>
  </si>
  <si>
    <t>T3  BSA 10-1</t>
  </si>
  <si>
    <t>T3 BSA 10-1</t>
  </si>
  <si>
    <t>BSA 0.75 mg/mL</t>
  </si>
  <si>
    <t>T3 no BSA 30-1</t>
  </si>
  <si>
    <t>T3 no BSA 30-2</t>
  </si>
  <si>
    <t>T4 no BSA 30-1</t>
  </si>
  <si>
    <t>T4 no BSA 30-2</t>
  </si>
  <si>
    <t>T3 BSA 30-1</t>
  </si>
  <si>
    <t>BSA 0.5 mg/mL</t>
  </si>
  <si>
    <t>T3 no BSA 60-1</t>
  </si>
  <si>
    <t>T3 no BSA 60-2</t>
  </si>
  <si>
    <t>T4 no BSA 60-1</t>
  </si>
  <si>
    <t>T4 no BSA 60-2</t>
  </si>
  <si>
    <t>T3 BSA 60-1</t>
  </si>
  <si>
    <t>BSA 0.25 mg/mL</t>
  </si>
  <si>
    <t>T3 BSA 2-2</t>
  </si>
  <si>
    <t>T3 BSA 30-2</t>
  </si>
  <si>
    <t>T4 BSA 5-1</t>
  </si>
  <si>
    <t>T4 BSA 60-1</t>
  </si>
  <si>
    <t>T4  BSA 10-1</t>
  </si>
  <si>
    <t>T4 BSA 10-1</t>
  </si>
  <si>
    <t>BSA 0.125 mg/mL</t>
  </si>
  <si>
    <t>T3  BSA 5-2</t>
  </si>
  <si>
    <t>T3 BSA 5-2</t>
  </si>
  <si>
    <t>T3 BSA 60-2</t>
  </si>
  <si>
    <t>T4 BSA 2-1</t>
  </si>
  <si>
    <t>T4 BSA 30-1</t>
  </si>
  <si>
    <t>BSA 0 mg/mL</t>
  </si>
  <si>
    <t>T3  BSA 10-2</t>
  </si>
  <si>
    <t>T3 BSA 10-2</t>
  </si>
  <si>
    <t>1. Make standard curve*: 2 - 1.5 - 1 - 0.75 - 0.5 - 0.25 - 0.125 - 0  0 mg/ml BSA.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</si>
</sst>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9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/>
    <xf numFmtId="0" fontId="0" fillId="2" borderId="1" xfId="0" applyFill="1" applyBorder="1"/>
    <xf numFmtId="0" fontId="1" fillId="0" borderId="0" xfId="0" applyFont="1"/>
    <xf numFmtId="169" fontId="0" fillId="3" borderId="2" xfId="0" applyNumberFormat="1" applyFill="1" applyBorder="1"/>
    <xf numFmtId="0" fontId="0" fillId="4" borderId="2" xfId="0" applyFont="1" applyFill="1" applyBorder="1"/>
    <xf numFmtId="0" fontId="0" fillId="5" borderId="2" xfId="0" applyFont="1" applyFill="1" applyBorder="1"/>
    <xf numFmtId="169" fontId="0" fillId="6" borderId="2" xfId="0" applyNumberFormat="1" applyFill="1" applyBorder="1"/>
    <xf numFmtId="169" fontId="0" fillId="7" borderId="2" xfId="0" applyNumberFormat="1" applyFill="1" applyBorder="1"/>
    <xf numFmtId="0" fontId="0" fillId="8" borderId="2" xfId="0" applyFont="1" applyFill="1" applyBorder="1"/>
    <xf numFmtId="169" fontId="0" fillId="4" borderId="2" xfId="0" applyNumberFormat="1" applyFont="1" applyFill="1" applyBorder="1"/>
    <xf numFmtId="169" fontId="0" fillId="5" borderId="2" xfId="0" applyNumberFormat="1" applyFont="1" applyFill="1" applyBorder="1"/>
    <xf numFmtId="169" fontId="0" fillId="8" borderId="2" xfId="0" applyNumberFormat="1" applyFont="1" applyFill="1" applyBorder="1"/>
    <xf numFmtId="0" fontId="0" fillId="9" borderId="2" xfId="0" applyFont="1" applyFill="1" applyBorder="1"/>
    <xf numFmtId="169" fontId="0" fillId="9" borderId="2" xfId="0" applyNumberFormat="1" applyFont="1" applyFill="1" applyBorder="1"/>
    <xf numFmtId="169" fontId="0" fillId="10" borderId="2" xfId="0" applyNumberFormat="1" applyFont="1" applyFill="1" applyBorder="1"/>
    <xf numFmtId="169" fontId="0" fillId="11" borderId="2" xfId="0" applyNumberFormat="1" applyFont="1" applyFill="1" applyBorder="1"/>
    <xf numFmtId="0" fontId="0" fillId="11" borderId="2" xfId="0" applyFont="1" applyFill="1" applyBorder="1"/>
    <xf numFmtId="0" fontId="0" fillId="1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34"/>
  <sheetViews>
    <sheetView tabSelected="1" workbookViewId="0">
      <selection activeCell="G14" sqref="G14"/>
    </sheetView>
  </sheetViews>
  <sheetFormatPr defaultRowHeight="15" x14ac:dyDescent="0.25"/>
  <cols>
    <col min="2" max="2" width="20.7109375" bestFit="1" customWidth="1"/>
    <col min="3" max="3" width="21.140625" bestFit="1" customWidth="1"/>
    <col min="4" max="4" width="16.140625" bestFit="1" customWidth="1"/>
    <col min="5" max="10" width="13.85546875" bestFit="1" customWidth="1"/>
    <col min="11" max="11" width="14.5703125" customWidth="1"/>
    <col min="12" max="12" width="13.85546875" bestFit="1" customWidth="1"/>
    <col min="13" max="13" width="11.42578125" bestFit="1" customWidth="1"/>
    <col min="14" max="14" width="11" bestFit="1" customWidth="1"/>
  </cols>
  <sheetData>
    <row r="1" spans="2:4" s="2" customFormat="1" ht="18.75" x14ac:dyDescent="0.3">
      <c r="B1" s="1" t="s">
        <v>0</v>
      </c>
    </row>
    <row r="2" spans="2:4" x14ac:dyDescent="0.25">
      <c r="B2" t="s">
        <v>1</v>
      </c>
      <c r="C2">
        <v>12</v>
      </c>
    </row>
    <row r="3" spans="2:4" x14ac:dyDescent="0.25">
      <c r="B3" t="s">
        <v>2</v>
      </c>
      <c r="C3">
        <v>1</v>
      </c>
    </row>
    <row r="4" spans="2:4" x14ac:dyDescent="0.25">
      <c r="B4" t="s">
        <v>3</v>
      </c>
      <c r="C4">
        <f>SUM(C2:C3)</f>
        <v>13</v>
      </c>
    </row>
    <row r="6" spans="2:4" x14ac:dyDescent="0.25">
      <c r="B6" t="s">
        <v>4</v>
      </c>
      <c r="C6">
        <v>14</v>
      </c>
    </row>
    <row r="8" spans="2:4" x14ac:dyDescent="0.25">
      <c r="B8" t="s">
        <v>5</v>
      </c>
      <c r="C8">
        <f>C6*0.25</f>
        <v>3.5</v>
      </c>
      <c r="D8" t="s">
        <v>6</v>
      </c>
    </row>
    <row r="9" spans="2:4" x14ac:dyDescent="0.25">
      <c r="B9" t="s">
        <v>7</v>
      </c>
      <c r="C9">
        <f>C8/5</f>
        <v>0.7</v>
      </c>
      <c r="D9" t="s">
        <v>6</v>
      </c>
    </row>
    <row r="10" spans="2:4" x14ac:dyDescent="0.25">
      <c r="B10" t="s">
        <v>8</v>
      </c>
      <c r="C10">
        <f>C8-C9</f>
        <v>2.8</v>
      </c>
      <c r="D10" t="s">
        <v>6</v>
      </c>
    </row>
    <row r="12" spans="2:4" x14ac:dyDescent="0.25">
      <c r="B12" t="s">
        <v>9</v>
      </c>
    </row>
    <row r="14" spans="2:4" x14ac:dyDescent="0.25">
      <c r="B14" t="s">
        <v>66</v>
      </c>
    </row>
    <row r="15" spans="2:4" x14ac:dyDescent="0.25">
      <c r="B15" t="s">
        <v>10</v>
      </c>
    </row>
    <row r="16" spans="2:4" x14ac:dyDescent="0.25">
      <c r="B16" t="s">
        <v>11</v>
      </c>
    </row>
    <row r="17" spans="2:14" x14ac:dyDescent="0.25">
      <c r="B17" t="s">
        <v>12</v>
      </c>
    </row>
    <row r="18" spans="2:14" x14ac:dyDescent="0.25">
      <c r="B18" t="s">
        <v>13</v>
      </c>
    </row>
    <row r="20" spans="2:14" x14ac:dyDescent="0.25">
      <c r="B20" t="s">
        <v>14</v>
      </c>
    </row>
    <row r="21" spans="2:14" x14ac:dyDescent="0.25">
      <c r="B21" t="s">
        <v>15</v>
      </c>
    </row>
    <row r="23" spans="2:14" x14ac:dyDescent="0.25">
      <c r="C23" s="3" t="s">
        <v>16</v>
      </c>
      <c r="K23" t="s">
        <v>17</v>
      </c>
    </row>
    <row r="26" spans="2:14" x14ac:dyDescent="0.25">
      <c r="C26">
        <v>1</v>
      </c>
      <c r="D26">
        <v>2</v>
      </c>
      <c r="E26">
        <v>3</v>
      </c>
      <c r="F26">
        <v>4</v>
      </c>
      <c r="G26">
        <v>5</v>
      </c>
      <c r="H26">
        <v>6</v>
      </c>
      <c r="I26">
        <v>7</v>
      </c>
      <c r="J26">
        <v>8</v>
      </c>
      <c r="K26">
        <v>9</v>
      </c>
      <c r="L26">
        <v>10</v>
      </c>
      <c r="M26">
        <v>11</v>
      </c>
      <c r="N26">
        <v>12</v>
      </c>
    </row>
    <row r="27" spans="2:14" x14ac:dyDescent="0.25">
      <c r="C27" s="4" t="s">
        <v>18</v>
      </c>
      <c r="D27" s="4" t="s">
        <v>18</v>
      </c>
      <c r="E27" s="5" t="s">
        <v>19</v>
      </c>
      <c r="F27" s="5" t="s">
        <v>19</v>
      </c>
      <c r="G27" s="6" t="s">
        <v>20</v>
      </c>
      <c r="H27" s="6" t="s">
        <v>20</v>
      </c>
      <c r="I27" s="7" t="s">
        <v>21</v>
      </c>
      <c r="J27" s="7" t="s">
        <v>21</v>
      </c>
      <c r="K27" s="8" t="s">
        <v>22</v>
      </c>
      <c r="L27" s="8" t="s">
        <v>22</v>
      </c>
      <c r="M27" s="9" t="s">
        <v>23</v>
      </c>
      <c r="N27" s="9" t="s">
        <v>23</v>
      </c>
    </row>
    <row r="28" spans="2:14" x14ac:dyDescent="0.25">
      <c r="C28" s="4" t="s">
        <v>24</v>
      </c>
      <c r="D28" s="4" t="s">
        <v>24</v>
      </c>
      <c r="E28" s="10" t="s">
        <v>25</v>
      </c>
      <c r="F28" s="10" t="s">
        <v>25</v>
      </c>
      <c r="G28" s="11" t="s">
        <v>26</v>
      </c>
      <c r="H28" s="11" t="s">
        <v>26</v>
      </c>
      <c r="I28" s="7" t="s">
        <v>27</v>
      </c>
      <c r="J28" s="7" t="s">
        <v>27</v>
      </c>
      <c r="K28" s="8" t="s">
        <v>28</v>
      </c>
      <c r="L28" s="8" t="s">
        <v>28</v>
      </c>
      <c r="M28" s="12" t="s">
        <v>29</v>
      </c>
      <c r="N28" s="12" t="s">
        <v>30</v>
      </c>
    </row>
    <row r="29" spans="2:14" x14ac:dyDescent="0.25">
      <c r="C29" s="4" t="s">
        <v>31</v>
      </c>
      <c r="D29" s="4" t="s">
        <v>31</v>
      </c>
      <c r="E29" s="10" t="s">
        <v>32</v>
      </c>
      <c r="F29" s="10" t="s">
        <v>32</v>
      </c>
      <c r="G29" s="11" t="s">
        <v>33</v>
      </c>
      <c r="H29" s="11" t="s">
        <v>33</v>
      </c>
      <c r="I29" s="7" t="s">
        <v>34</v>
      </c>
      <c r="J29" s="7" t="s">
        <v>34</v>
      </c>
      <c r="K29" s="8" t="s">
        <v>35</v>
      </c>
      <c r="L29" s="8" t="s">
        <v>35</v>
      </c>
      <c r="M29" s="12" t="s">
        <v>36</v>
      </c>
      <c r="N29" s="12" t="s">
        <v>37</v>
      </c>
    </row>
    <row r="30" spans="2:14" x14ac:dyDescent="0.25">
      <c r="C30" s="4" t="s">
        <v>38</v>
      </c>
      <c r="D30" s="4" t="s">
        <v>38</v>
      </c>
      <c r="E30" s="10" t="s">
        <v>39</v>
      </c>
      <c r="F30" s="10" t="s">
        <v>39</v>
      </c>
      <c r="G30" s="11" t="s">
        <v>40</v>
      </c>
      <c r="H30" s="11" t="s">
        <v>40</v>
      </c>
      <c r="I30" s="7" t="s">
        <v>41</v>
      </c>
      <c r="J30" s="7" t="s">
        <v>41</v>
      </c>
      <c r="K30" s="8" t="s">
        <v>42</v>
      </c>
      <c r="L30" s="8" t="s">
        <v>42</v>
      </c>
      <c r="M30" s="12" t="s">
        <v>43</v>
      </c>
      <c r="N30" s="12" t="s">
        <v>43</v>
      </c>
    </row>
    <row r="31" spans="2:14" x14ac:dyDescent="0.25">
      <c r="C31" s="4" t="s">
        <v>44</v>
      </c>
      <c r="D31" s="4" t="s">
        <v>44</v>
      </c>
      <c r="E31" s="10" t="s">
        <v>45</v>
      </c>
      <c r="F31" s="10" t="s">
        <v>45</v>
      </c>
      <c r="G31" s="11" t="s">
        <v>46</v>
      </c>
      <c r="H31" s="11" t="s">
        <v>46</v>
      </c>
      <c r="I31" s="7" t="s">
        <v>47</v>
      </c>
      <c r="J31" s="7" t="s">
        <v>47</v>
      </c>
      <c r="K31" s="8" t="s">
        <v>48</v>
      </c>
      <c r="L31" s="8" t="s">
        <v>48</v>
      </c>
      <c r="M31" s="12" t="s">
        <v>49</v>
      </c>
      <c r="N31" s="12" t="s">
        <v>49</v>
      </c>
    </row>
    <row r="32" spans="2:14" x14ac:dyDescent="0.25">
      <c r="C32" s="4" t="s">
        <v>50</v>
      </c>
      <c r="D32" s="4" t="s">
        <v>50</v>
      </c>
      <c r="E32" s="13" t="s">
        <v>51</v>
      </c>
      <c r="F32" s="13" t="s">
        <v>51</v>
      </c>
      <c r="G32" s="14" t="s">
        <v>52</v>
      </c>
      <c r="H32" s="14" t="s">
        <v>52</v>
      </c>
      <c r="I32" s="15" t="s">
        <v>53</v>
      </c>
      <c r="J32" s="15" t="s">
        <v>53</v>
      </c>
      <c r="K32" s="15" t="s">
        <v>54</v>
      </c>
      <c r="L32" s="15" t="s">
        <v>54</v>
      </c>
      <c r="M32" s="16" t="s">
        <v>55</v>
      </c>
      <c r="N32" s="16" t="s">
        <v>56</v>
      </c>
    </row>
    <row r="33" spans="3:14" x14ac:dyDescent="0.25">
      <c r="C33" s="4" t="s">
        <v>57</v>
      </c>
      <c r="D33" s="4" t="s">
        <v>57</v>
      </c>
      <c r="E33" s="14" t="s">
        <v>58</v>
      </c>
      <c r="F33" s="14" t="s">
        <v>59</v>
      </c>
      <c r="G33" s="14" t="s">
        <v>60</v>
      </c>
      <c r="H33" s="14" t="s">
        <v>60</v>
      </c>
      <c r="I33" s="15" t="s">
        <v>55</v>
      </c>
      <c r="J33" s="15" t="s">
        <v>56</v>
      </c>
      <c r="K33" s="17" t="s">
        <v>61</v>
      </c>
      <c r="L33" s="17" t="s">
        <v>61</v>
      </c>
      <c r="M33" s="16" t="s">
        <v>62</v>
      </c>
      <c r="N33" s="16" t="s">
        <v>62</v>
      </c>
    </row>
    <row r="34" spans="3:14" x14ac:dyDescent="0.25">
      <c r="C34" s="4" t="s">
        <v>63</v>
      </c>
      <c r="D34" s="4" t="s">
        <v>63</v>
      </c>
      <c r="E34" s="14" t="s">
        <v>64</v>
      </c>
      <c r="F34" s="14" t="s">
        <v>65</v>
      </c>
      <c r="G34" s="18" t="s">
        <v>61</v>
      </c>
      <c r="H34" s="18" t="s">
        <v>61</v>
      </c>
      <c r="I34" s="15" t="s">
        <v>62</v>
      </c>
      <c r="J34" s="15" t="s">
        <v>62</v>
      </c>
      <c r="K34" s="16" t="s">
        <v>53</v>
      </c>
      <c r="L34" s="16" t="s">
        <v>53</v>
      </c>
      <c r="M34" s="16" t="s">
        <v>54</v>
      </c>
      <c r="N34" s="16" t="s">
        <v>54</v>
      </c>
    </row>
  </sheetData>
  <pageMargins left="0.7" right="0.7" top="0.75" bottom="0.75" header="0.3" footer="0.3"/>
  <pageSetup paperSize="9" scale="6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Mix calculations</vt:lpstr>
    </vt:vector>
  </TitlesOfParts>
  <Company>Erasmus 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N.T.O.M. Dierichs</dc:creator>
  <cp:lastModifiedBy>N.T.O.M. Dierichs</cp:lastModifiedBy>
  <cp:lastPrinted>2023-08-21T11:40:00Z</cp:lastPrinted>
  <dcterms:created xsi:type="dcterms:W3CDTF">2023-08-21T11:38:01Z</dcterms:created>
  <dcterms:modified xsi:type="dcterms:W3CDTF">2023-08-21T11:40:13Z</dcterms:modified>
</cp:coreProperties>
</file>