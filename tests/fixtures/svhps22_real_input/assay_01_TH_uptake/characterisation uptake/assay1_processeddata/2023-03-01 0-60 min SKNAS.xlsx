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Nathalie\Experiments\2023\Uptake assay\2023-03-01 SK 0-60 min uptake\"/>
    </mc:Choice>
  </mc:AlternateContent>
  <bookViews>
    <workbookView xWindow="0" yWindow="0" windowWidth="28800" windowHeight="12300" activeTab="6"/>
  </bookViews>
  <sheets>
    <sheet name="Summary" sheetId="5" r:id="rId1"/>
    <sheet name="Cells" sheetId="6" r:id="rId2"/>
    <sheet name="layout 01-03" sheetId="8" r:id="rId3"/>
    <sheet name="tracer counts 01-03" sheetId="9" r:id="rId4"/>
    <sheet name="Raw data 01-03" sheetId="10" r:id="rId5"/>
    <sheet name="uptake 01-03" sheetId="11" r:id="rId6"/>
    <sheet name="BCA plate set-up" sheetId="12" r:id="rId7"/>
    <sheet name="Protein concentration" sheetId="13" r:id="rId8"/>
  </sheets>
  <definedNames>
    <definedName name="_003644" localSheetId="3">'tracer counts 01-03'!$A$2:$N$6</definedName>
    <definedName name="_003645_1" localSheetId="3">'tracer counts 01-03'!$A$9:$N$19</definedName>
    <definedName name="_003646" localSheetId="3">'tracer counts 01-03'!$A$23:$N$32</definedName>
    <definedName name="_003647" localSheetId="3">'tracer counts 01-03'!$A$37:$N$47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" i="13" l="1"/>
  <c r="E71" i="13" s="1"/>
  <c r="D70" i="13"/>
  <c r="E70" i="13" s="1"/>
  <c r="D69" i="13"/>
  <c r="E69" i="13" s="1"/>
  <c r="D68" i="13"/>
  <c r="E68" i="13" s="1"/>
  <c r="D67" i="13"/>
  <c r="E67" i="13" s="1"/>
  <c r="D66" i="13"/>
  <c r="E66" i="13" s="1"/>
  <c r="D65" i="13"/>
  <c r="E65" i="13" s="1"/>
  <c r="D64" i="13"/>
  <c r="E64" i="13" s="1"/>
  <c r="D63" i="13"/>
  <c r="E63" i="13" s="1"/>
  <c r="D62" i="13"/>
  <c r="E62" i="13" s="1"/>
  <c r="D61" i="13"/>
  <c r="E61" i="13" s="1"/>
  <c r="D60" i="13"/>
  <c r="E60" i="13" s="1"/>
  <c r="D59" i="13"/>
  <c r="E59" i="13" s="1"/>
  <c r="D58" i="13"/>
  <c r="E58" i="13" s="1"/>
  <c r="D57" i="13"/>
  <c r="E57" i="13" s="1"/>
  <c r="D56" i="13"/>
  <c r="E56" i="13" s="1"/>
  <c r="D55" i="13"/>
  <c r="E55" i="13" s="1"/>
  <c r="D54" i="13"/>
  <c r="E54" i="13" s="1"/>
  <c r="D53" i="13"/>
  <c r="E53" i="13" s="1"/>
  <c r="D52" i="13"/>
  <c r="E52" i="13" s="1"/>
  <c r="D51" i="13"/>
  <c r="E51" i="13" s="1"/>
  <c r="D50" i="13"/>
  <c r="E50" i="13" s="1"/>
  <c r="D49" i="13"/>
  <c r="E49" i="13" s="1"/>
  <c r="D48" i="13"/>
  <c r="E48" i="13" s="1"/>
  <c r="D47" i="13"/>
  <c r="E47" i="13" s="1"/>
  <c r="D46" i="13"/>
  <c r="E46" i="13" s="1"/>
  <c r="D45" i="13"/>
  <c r="E45" i="13" s="1"/>
  <c r="D44" i="13"/>
  <c r="E44" i="13" s="1"/>
  <c r="D43" i="13"/>
  <c r="E43" i="13" s="1"/>
  <c r="D42" i="13"/>
  <c r="E42" i="13" s="1"/>
  <c r="D41" i="13"/>
  <c r="E41" i="13" s="1"/>
  <c r="D40" i="13"/>
  <c r="E40" i="13" s="1"/>
  <c r="D39" i="13"/>
  <c r="E39" i="13" s="1"/>
  <c r="D38" i="13"/>
  <c r="E38" i="13" s="1"/>
  <c r="D37" i="13"/>
  <c r="E37" i="13" s="1"/>
  <c r="D36" i="13"/>
  <c r="E36" i="13" s="1"/>
  <c r="D35" i="13"/>
  <c r="E35" i="13" s="1"/>
  <c r="D34" i="13"/>
  <c r="E34" i="13" s="1"/>
  <c r="D33" i="13"/>
  <c r="E33" i="13" s="1"/>
  <c r="D32" i="13"/>
  <c r="E32" i="13" s="1"/>
  <c r="B24" i="13" a="1"/>
  <c r="C26" i="13" s="1"/>
  <c r="D20" i="13"/>
  <c r="R19" i="13"/>
  <c r="D19" i="13"/>
  <c r="E19" i="13" s="1"/>
  <c r="D18" i="13"/>
  <c r="E18" i="13" s="1"/>
  <c r="D17" i="13"/>
  <c r="E17" i="13" s="1"/>
  <c r="D16" i="13"/>
  <c r="E16" i="13" s="1"/>
  <c r="D15" i="13"/>
  <c r="E15" i="13" s="1"/>
  <c r="D14" i="13"/>
  <c r="E14" i="13" s="1"/>
  <c r="D13" i="13"/>
  <c r="F11" i="12"/>
  <c r="J9" i="12"/>
  <c r="J10" i="12" s="1"/>
  <c r="G9" i="12"/>
  <c r="D8" i="12"/>
  <c r="D9" i="12" s="1"/>
  <c r="D10" i="12" s="1"/>
  <c r="E4" i="12"/>
  <c r="D4" i="12"/>
  <c r="C25" i="13" l="1"/>
  <c r="B24" i="13"/>
  <c r="B27" i="13"/>
  <c r="J11" i="12"/>
  <c r="C24" i="13"/>
  <c r="C27" i="13"/>
  <c r="B25" i="13"/>
  <c r="B28" i="13"/>
  <c r="C28" i="13"/>
  <c r="B26" i="13"/>
  <c r="B33" i="8" l="1"/>
  <c r="F12" i="11" l="1"/>
  <c r="F6" i="11"/>
  <c r="F7" i="11"/>
  <c r="F8" i="11"/>
  <c r="G8" i="11" s="1"/>
  <c r="F5" i="11"/>
  <c r="G5" i="11" s="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G6" i="11" l="1"/>
  <c r="G21" i="11" s="1"/>
  <c r="G7" i="11"/>
  <c r="H26" i="11" s="1"/>
  <c r="H20" i="11"/>
  <c r="H19" i="11"/>
  <c r="H31" i="11"/>
  <c r="H28" i="11"/>
  <c r="G20" i="11"/>
  <c r="H22" i="11"/>
  <c r="G24" i="11"/>
  <c r="G31" i="11"/>
  <c r="G28" i="11"/>
  <c r="H30" i="11"/>
  <c r="H21" i="11"/>
  <c r="H18" i="11"/>
  <c r="G27" i="11"/>
  <c r="H29" i="11"/>
  <c r="G19" i="11"/>
  <c r="G30" i="11"/>
  <c r="H27" i="11"/>
  <c r="G29" i="11"/>
  <c r="H13" i="11"/>
  <c r="H14" i="11"/>
  <c r="G13" i="11"/>
  <c r="H15" i="11"/>
  <c r="G14" i="11"/>
  <c r="H16" i="11"/>
  <c r="G15" i="11"/>
  <c r="G12" i="11"/>
  <c r="H12" i="11"/>
  <c r="G16" i="11"/>
  <c r="C66" i="8"/>
  <c r="C65" i="8"/>
  <c r="C64" i="8"/>
  <c r="C63" i="8"/>
  <c r="C58" i="8"/>
  <c r="C57" i="8"/>
  <c r="C56" i="8"/>
  <c r="C55" i="8"/>
  <c r="E48" i="8"/>
  <c r="E50" i="8" s="1"/>
  <c r="B48" i="8"/>
  <c r="B50" i="8" s="1"/>
  <c r="E44" i="8"/>
  <c r="E49" i="8" s="1"/>
  <c r="B44" i="8"/>
  <c r="B49" i="8" s="1"/>
  <c r="E37" i="8"/>
  <c r="E39" i="8" s="1"/>
  <c r="B37" i="8"/>
  <c r="B39" i="8" s="1"/>
  <c r="E33" i="8"/>
  <c r="E38" i="8" s="1"/>
  <c r="B38" i="8"/>
  <c r="G23" i="11" l="1"/>
  <c r="G26" i="11"/>
  <c r="I26" i="11" s="1"/>
  <c r="G18" i="11"/>
  <c r="H17" i="11"/>
  <c r="G17" i="11"/>
  <c r="I17" i="11" s="1"/>
  <c r="H24" i="11"/>
  <c r="G25" i="11"/>
  <c r="G22" i="11"/>
  <c r="J22" i="11" s="1"/>
  <c r="H23" i="11"/>
  <c r="I23" i="11" s="1"/>
  <c r="H25" i="11"/>
  <c r="J12" i="11"/>
  <c r="I12" i="11"/>
  <c r="I27" i="11"/>
  <c r="J27" i="11"/>
  <c r="J26" i="11"/>
  <c r="J28" i="11"/>
  <c r="I28" i="11"/>
  <c r="I15" i="11"/>
  <c r="J15" i="11"/>
  <c r="J14" i="11"/>
  <c r="I14" i="11"/>
  <c r="J29" i="11"/>
  <c r="I29" i="11"/>
  <c r="J30" i="11"/>
  <c r="I30" i="11"/>
  <c r="J13" i="11"/>
  <c r="I13" i="11"/>
  <c r="J31" i="11"/>
  <c r="I31" i="11"/>
  <c r="J24" i="11"/>
  <c r="I24" i="11"/>
  <c r="I21" i="11"/>
  <c r="J21" i="11"/>
  <c r="J20" i="11"/>
  <c r="I20" i="11"/>
  <c r="J16" i="11"/>
  <c r="I16" i="11"/>
  <c r="J18" i="11"/>
  <c r="I18" i="11"/>
  <c r="J19" i="11"/>
  <c r="I19" i="11"/>
  <c r="J17" i="11" l="1"/>
  <c r="J25" i="11"/>
  <c r="I22" i="11"/>
  <c r="I25" i="11"/>
  <c r="J23" i="11"/>
</calcChain>
</file>

<file path=xl/connections.xml><?xml version="1.0" encoding="utf-8"?>
<connections xmlns="http://schemas.openxmlformats.org/spreadsheetml/2006/main">
  <connection id="1" name="0036441" type="6" refreshedVersion="6" background="1" saveData="1">
    <textPr codePage="437" sourceFile="D:\Wizard transferr\2022-08-03 H4 MO3.13 uptake\003644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0036451" type="6" refreshedVersion="6" background="1" saveData="1">
    <textPr codePage="437" sourceFile="D:\Wizard transferr\2022-08-03 H4 MO3.13 uptake\003645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0036461" type="6" refreshedVersion="6" background="1" saveData="1">
    <textPr codePage="437" sourceFile="D:\Wizard transferr\2022-08-03 H4 MO3.13 uptake\003646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0036471" type="6" refreshedVersion="6" background="1" saveData="1">
    <textPr codePage="437" sourceFile="D:\Wizard transferr\2022-08-03 H4 MO3.13 uptake\003647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<sst xmlns="http://schemas.openxmlformats.org/spreadsheetml/2006/main" count="561" uniqueCount="243">
  <si>
    <t>cpm</t>
  </si>
  <si>
    <t>cpm average</t>
  </si>
  <si>
    <t>cpm (375µl)</t>
  </si>
  <si>
    <t>Name</t>
  </si>
  <si>
    <t>Date</t>
  </si>
  <si>
    <t>Cell type</t>
  </si>
  <si>
    <t>Short description</t>
  </si>
  <si>
    <t>Transporter constructs</t>
  </si>
  <si>
    <t>Substrate</t>
  </si>
  <si>
    <t>Inhibitors</t>
  </si>
  <si>
    <t>Uptake buffer</t>
  </si>
  <si>
    <t>Protocol</t>
  </si>
  <si>
    <t>Growth medium</t>
  </si>
  <si>
    <t xml:space="preserve">Passage number </t>
  </si>
  <si>
    <t>Incubation buffer</t>
  </si>
  <si>
    <t>Incubation volume (ul)</t>
  </si>
  <si>
    <t>cpm per sample</t>
  </si>
  <si>
    <t>Incubation time(s) (min)</t>
  </si>
  <si>
    <t># samples</t>
  </si>
  <si>
    <t>Err factor</t>
  </si>
  <si>
    <t>ul T4 stock</t>
  </si>
  <si>
    <t>Total volume buffer (ml)</t>
  </si>
  <si>
    <t>Wash buffer</t>
  </si>
  <si>
    <t>Lysis buffer</t>
  </si>
  <si>
    <t>0.1 M NaOH</t>
  </si>
  <si>
    <t>cpm 2</t>
  </si>
  <si>
    <t>cpm 1</t>
  </si>
  <si>
    <t>%uptake 1</t>
  </si>
  <si>
    <t>%uptake 2</t>
  </si>
  <si>
    <t>avg %uptake</t>
  </si>
  <si>
    <t>std %uptake</t>
  </si>
  <si>
    <t>cpm 5 ul T4 stock</t>
  </si>
  <si>
    <t>cpm T4 stock/ul</t>
  </si>
  <si>
    <t>Marcel/Nathalie</t>
  </si>
  <si>
    <t>none</t>
  </si>
  <si>
    <t>1 nM T3 or T4</t>
  </si>
  <si>
    <t>DPBS + 0.1% glucose/0.1% BSA</t>
  </si>
  <si>
    <t>DMEM/F12 + 9% FBS + P/S</t>
  </si>
  <si>
    <t>Centrifuge 5' 1500 rpm, remove medium, take up cells in 10 ml growth medium</t>
  </si>
  <si>
    <t>Trypsinize with 1 ml trypsin ~xx min</t>
  </si>
  <si>
    <t>quenche with 10 ml growth medium</t>
  </si>
  <si>
    <t>2, 5, 10, 30, 60</t>
  </si>
  <si>
    <t>24-well plates/H4 cells</t>
  </si>
  <si>
    <t>T3</t>
  </si>
  <si>
    <t>T4</t>
  </si>
  <si>
    <t>min</t>
  </si>
  <si>
    <t>ul cold T4 stock (1 uM)</t>
  </si>
  <si>
    <t>cpm 5 ul T3 stock</t>
  </si>
  <si>
    <t>cpm T3 stock/ul</t>
  </si>
  <si>
    <t>ul T3 stock</t>
  </si>
  <si>
    <t>ul cold T3 stock (1 uM)</t>
  </si>
  <si>
    <t>5 ul HSA T3</t>
  </si>
  <si>
    <t>Plate 500 per well</t>
  </si>
  <si>
    <t>Without BSA</t>
  </si>
  <si>
    <t>With BSA</t>
  </si>
  <si>
    <t>No BSA</t>
  </si>
  <si>
    <t>0.1% BSA</t>
  </si>
  <si>
    <t>Input</t>
  </si>
  <si>
    <t>375 ul mix</t>
  </si>
  <si>
    <t>T3 no BSA</t>
  </si>
  <si>
    <t>T4 no BSA</t>
  </si>
  <si>
    <t>T3 BSA</t>
  </si>
  <si>
    <t>T4 BSA</t>
  </si>
  <si>
    <t>Cell count</t>
  </si>
  <si>
    <t xml:space="preserve">Need </t>
  </si>
  <si>
    <t>Dilute</t>
  </si>
  <si>
    <t>Plate</t>
  </si>
  <si>
    <t>H4</t>
  </si>
  <si>
    <t>Protocol ID</t>
  </si>
  <si>
    <t>Protocol name</t>
  </si>
  <si>
    <t>Measurement date &amp; time</t>
  </si>
  <si>
    <t>Completion status</t>
  </si>
  <si>
    <t>Run ID</t>
  </si>
  <si>
    <t>Rack</t>
  </si>
  <si>
    <t>Det</t>
  </si>
  <si>
    <t>Pos</t>
  </si>
  <si>
    <t>Time</t>
  </si>
  <si>
    <t>Sample code</t>
  </si>
  <si>
    <t>I-125 Counts</t>
  </si>
  <si>
    <t>I-125 CPM</t>
  </si>
  <si>
    <t>I-125 Error %</t>
  </si>
  <si>
    <t>I-125 Info</t>
  </si>
  <si>
    <t>TELLING 1 min</t>
  </si>
  <si>
    <t>I</t>
  </si>
  <si>
    <t>5 ul HSA T4 (april 2022)</t>
  </si>
  <si>
    <t>003644.csv</t>
  </si>
  <si>
    <t>5 ul HSA T4 (juli 2022)</t>
  </si>
  <si>
    <t>T3 - BSA</t>
  </si>
  <si>
    <t>T4 -BSA</t>
  </si>
  <si>
    <t>T3 + BSA</t>
  </si>
  <si>
    <t>T4+-BSA</t>
  </si>
  <si>
    <t>003645.csv</t>
  </si>
  <si>
    <t>75 ul tracer mix</t>
  </si>
  <si>
    <t>T4 + BSA</t>
  </si>
  <si>
    <t>75 ul tracer counts</t>
  </si>
  <si>
    <t>cpm (375 ul)</t>
  </si>
  <si>
    <t>too low</t>
  </si>
  <si>
    <t>good</t>
  </si>
  <si>
    <t>add ul stock</t>
  </si>
  <si>
    <t>new count</t>
  </si>
  <si>
    <t>Syl</t>
  </si>
  <si>
    <t>1.5 uL</t>
  </si>
  <si>
    <t>DMSO</t>
  </si>
  <si>
    <t>Lesi</t>
  </si>
  <si>
    <t>Mo3.13</t>
  </si>
  <si>
    <t>SHSY5Y</t>
  </si>
  <si>
    <t>500 uL per well</t>
  </si>
  <si>
    <t>DPBS + 0.1% glucose/+ - 0.1% BSA</t>
  </si>
  <si>
    <t>Test uptake of T3 and T4 by SK-N-AS cells</t>
  </si>
  <si>
    <t>SK-N-AS cells in T75 flasks</t>
  </si>
  <si>
    <t>Plate 100000 cells per well in 24 wells plates:</t>
  </si>
  <si>
    <t>Dilute cells in medium to 200000 cells per ml</t>
  </si>
  <si>
    <t>2.4 ml cell suspension in total of 30 ml medium</t>
  </si>
  <si>
    <t>SKNAS</t>
  </si>
  <si>
    <t>T3 -</t>
  </si>
  <si>
    <t>T4 -</t>
  </si>
  <si>
    <t>T3 +</t>
  </si>
  <si>
    <t>T4 +</t>
  </si>
  <si>
    <t>Sk-N-AS</t>
  </si>
  <si>
    <t>Nathalie</t>
  </si>
  <si>
    <t>P11</t>
  </si>
  <si>
    <r>
      <t>17.98x10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viable cells per ml</t>
    </r>
  </si>
  <si>
    <t>7000000 cells in 35 mL</t>
  </si>
  <si>
    <t>BCA mix</t>
  </si>
  <si>
    <t>Samples from curve:</t>
  </si>
  <si>
    <t>Samples from assay:</t>
  </si>
  <si>
    <t>Total:</t>
  </si>
  <si>
    <t xml:space="preserve">Make extra mix: </t>
  </si>
  <si>
    <t>Total volume needed:</t>
  </si>
  <si>
    <t>ml</t>
  </si>
  <si>
    <t>Reagens (50X conc):</t>
  </si>
  <si>
    <t>BCA liquid (big bottle):</t>
  </si>
  <si>
    <t>Reagens (5X conc):</t>
  </si>
  <si>
    <t>Water:</t>
  </si>
  <si>
    <t>Proceed according protocol:</t>
  </si>
  <si>
    <t>1. Make standard curve*: 1 - 0,8 - 0,6 - 0,4 - 0,2 - 0 mg/ml BSA.</t>
  </si>
  <si>
    <t>in NaOH</t>
  </si>
  <si>
    <t>5. Calculate the amount of protein (manually standard curve and all samples minus blanc) remembering to correct your samples for dilution giving amount of protein in mg/ml</t>
  </si>
  <si>
    <t xml:space="preserve">* This can be done before hand and be alliquoted, freezing and thawing causes degradation of the protein by NaOH. </t>
  </si>
  <si>
    <t xml:space="preserve">   Make curve in 0.1M NaOH, PBS or H2O but it should always be similar to the liquid your sample is in.</t>
  </si>
  <si>
    <t>-1 is de eerste sample van de twee duplo's van de gamma counter</t>
  </si>
  <si>
    <t>-2 is het tweede sample van de twee duplo's van de counter</t>
  </si>
  <si>
    <t>Bij bradford ook een duplo per sample</t>
  </si>
  <si>
    <t>concentration curve</t>
  </si>
  <si>
    <t>nu 2, 1.5, 1 0.75, 0.5, 0.25, 0.125, 0 mg/ml</t>
  </si>
  <si>
    <t>in water (want matcht beter met de phosphate buffer)</t>
  </si>
  <si>
    <t>A</t>
  </si>
  <si>
    <t>BSA 2 mg/mL</t>
  </si>
  <si>
    <t>T3 no BSA 2-1</t>
  </si>
  <si>
    <t>T3 no BSA 2-2</t>
  </si>
  <si>
    <t>T4 no BSA 2-1</t>
  </si>
  <si>
    <t>T4 no BSA 2-2</t>
  </si>
  <si>
    <t>T3 BSA 2-1</t>
  </si>
  <si>
    <t>B</t>
  </si>
  <si>
    <t>BSA 1.5 mg/mL</t>
  </si>
  <si>
    <t>T3 no BSA 5-1</t>
  </si>
  <si>
    <t>T3 no BSA 5-2</t>
  </si>
  <si>
    <t>T4 no BSA 5-1</t>
  </si>
  <si>
    <t>T4 no BSA 5-2</t>
  </si>
  <si>
    <t>T3  BSA 5-1</t>
  </si>
  <si>
    <t>T3 BSA 5-1</t>
  </si>
  <si>
    <t>C</t>
  </si>
  <si>
    <t>BSA 1 mg/mL</t>
  </si>
  <si>
    <t>T3 no BSA 10-1</t>
  </si>
  <si>
    <t>T3 no BSA 10-2</t>
  </si>
  <si>
    <t>T4 no BSA 10-1</t>
  </si>
  <si>
    <t>T4 no BSA 10-2</t>
  </si>
  <si>
    <t>T3  BSA 10-1</t>
  </si>
  <si>
    <t>T3 BSA 10-1</t>
  </si>
  <si>
    <t>D</t>
  </si>
  <si>
    <t>BSA 0.75 mg/mL</t>
  </si>
  <si>
    <t>T3 no BSA 30-1</t>
  </si>
  <si>
    <t>T3 no BSA 30-2</t>
  </si>
  <si>
    <t>T4 no BSA 30-1</t>
  </si>
  <si>
    <t>T4 no BSA 30-2</t>
  </si>
  <si>
    <t>T3 BSA 30-1</t>
  </si>
  <si>
    <t>E</t>
  </si>
  <si>
    <t>BSA 0.5 mg/mL</t>
  </si>
  <si>
    <t>T3 no BSA 60-1</t>
  </si>
  <si>
    <t>T3 no BSA 60-2</t>
  </si>
  <si>
    <t>T4 no BSA 60-1</t>
  </si>
  <si>
    <t>T4 no BSA 60-2</t>
  </si>
  <si>
    <t>T3 BSA 60-1</t>
  </si>
  <si>
    <t>Sylichristin 1 uM</t>
  </si>
  <si>
    <t>F</t>
  </si>
  <si>
    <t>BSA 0.25 mg/mL</t>
  </si>
  <si>
    <t>T3 BSA 2-2</t>
  </si>
  <si>
    <t>T3 BSA 30-2</t>
  </si>
  <si>
    <t>T4 BSA 5-1</t>
  </si>
  <si>
    <t>T4 BSA 60-1</t>
  </si>
  <si>
    <t>T4  BSA 10-1</t>
  </si>
  <si>
    <t>T4 BSA 10-1</t>
  </si>
  <si>
    <t>Sylichristin 10 uM</t>
  </si>
  <si>
    <t>G</t>
  </si>
  <si>
    <t>BSA 0.125 mg/mL</t>
  </si>
  <si>
    <t>T3  BSA 5-2</t>
  </si>
  <si>
    <t>T3 BSA 5-2</t>
  </si>
  <si>
    <t>T3 BSA 60-2</t>
  </si>
  <si>
    <t>T4 BSA 2-1</t>
  </si>
  <si>
    <t>T4 BSA 30-1</t>
  </si>
  <si>
    <t>Lesinurad 10 uM</t>
  </si>
  <si>
    <t>H</t>
  </si>
  <si>
    <t>BSA 0 mg/mL</t>
  </si>
  <si>
    <t>T3  BSA 10-2</t>
  </si>
  <si>
    <t>T3 BSA 10-2</t>
  </si>
  <si>
    <t>Lesinurad 100 uM</t>
  </si>
  <si>
    <t>T3 1 -1 &amp;-2 zijn duplo uit de epp die gesonificeerd zijn uit een well</t>
  </si>
  <si>
    <t>(duplo bradford uit een well)</t>
  </si>
  <si>
    <t>10 uM sily + 100 uM lesi</t>
  </si>
  <si>
    <t>BCA plate readout</t>
  </si>
  <si>
    <t>Standard curve</t>
  </si>
  <si>
    <t>mg/ml BSA</t>
  </si>
  <si>
    <t>Average</t>
  </si>
  <si>
    <t>Back calculation</t>
  </si>
  <si>
    <t>Samples have to fit in curve, if not dilute them</t>
  </si>
  <si>
    <t>Dit niet gebruiken!</t>
  </si>
  <si>
    <t>not included</t>
  </si>
  <si>
    <t>Samples dilution 1:5 --&gt; 2 wells in 300µl phosphate buffer</t>
  </si>
  <si>
    <t>In plate = 250µl Bradford + 5µl Sample</t>
  </si>
  <si>
    <t>Dilution when scraping:</t>
  </si>
  <si>
    <t xml:space="preserve"> </t>
  </si>
  <si>
    <t>Dilution for bradford:</t>
  </si>
  <si>
    <t>(if samples are higher then the curve)</t>
  </si>
  <si>
    <t>Total dilution:</t>
  </si>
  <si>
    <t>Curve properties</t>
  </si>
  <si>
    <t>Klopt niet met eigen berekeningen</t>
  </si>
  <si>
    <t>m</t>
  </si>
  <si>
    <t>b</t>
  </si>
  <si>
    <t>Δm</t>
  </si>
  <si>
    <t>Δb</t>
  </si>
  <si>
    <t>R²</t>
  </si>
  <si>
    <t>sy/x</t>
  </si>
  <si>
    <t>Freedom</t>
  </si>
  <si>
    <t>Protein concentration in sample</t>
  </si>
  <si>
    <t>Sample</t>
  </si>
  <si>
    <t>Conc. (mg/ml)</t>
  </si>
  <si>
    <t>004042.csv</t>
  </si>
  <si>
    <t>TELLING 5 min</t>
  </si>
  <si>
    <t>intercept</t>
  </si>
  <si>
    <t>slope</t>
  </si>
  <si>
    <t xml:space="preserve">2. Dilute 50X Biorad protein acid to a 1X solution in reagensA </t>
  </si>
  <si>
    <t>3. Pipette 10 uL of your samples and standards in a 96 well ELISA plate.</t>
  </si>
  <si>
    <t>4. Add 200µl Bradford reagens, wait 30 at 37 degrees minutes and read the plate at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</si>
</sst>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106">
    <xf numFmtId="0" fontId="0" fillId="0" borderId="0" xfId="0"/>
    <xf numFmtId="0" fontId="1" fillId="0" borderId="0" xfId="0" applyFont="1"/>
    <xf numFmtId="2" fontId="0" fillId="0" borderId="0" xfId="0" applyNumberForma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0" fillId="0" borderId="0" xfId="0" applyFill="1"/>
    <xf numFmtId="0" fontId="3" fillId="0" borderId="0" xfId="0" applyFont="1" applyFill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1" fontId="10" fillId="0" borderId="0" xfId="0" applyNumberFormat="1" applyFont="1"/>
    <xf numFmtId="0" fontId="0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2" fontId="0" fillId="0" borderId="0" xfId="0" applyNumberFormat="1"/>
    <xf numFmtId="14" fontId="0" fillId="0" borderId="0" xfId="0" applyNumberFormat="1" applyFill="1"/>
    <xf numFmtId="0" fontId="0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1" fillId="0" borderId="0" xfId="0" applyFont="1" applyFill="1"/>
    <xf numFmtId="164" fontId="0" fillId="0" borderId="0" xfId="0" applyNumberFormat="1" applyFill="1"/>
    <xf numFmtId="0" fontId="4" fillId="0" borderId="0" xfId="0" applyFont="1" applyFill="1"/>
    <xf numFmtId="0" fontId="0" fillId="0" borderId="0" xfId="0" applyFill="1" applyBorder="1"/>
    <xf numFmtId="2" fontId="0" fillId="0" borderId="0" xfId="0" applyNumberFormat="1" applyFill="1"/>
    <xf numFmtId="0" fontId="0" fillId="0" borderId="0" xfId="0" applyFont="1" applyFill="1" applyBorder="1"/>
    <xf numFmtId="2" fontId="0" fillId="0" borderId="0" xfId="0" applyNumberForma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164" fontId="0" fillId="0" borderId="5" xfId="0" applyNumberFormat="1" applyBorder="1"/>
    <xf numFmtId="0" fontId="0" fillId="0" borderId="3" xfId="0" applyBorder="1"/>
    <xf numFmtId="0" fontId="0" fillId="0" borderId="4" xfId="0" applyBorder="1"/>
    <xf numFmtId="0" fontId="12" fillId="0" borderId="0" xfId="0" applyFont="1" applyFill="1"/>
    <xf numFmtId="0" fontId="4" fillId="0" borderId="0" xfId="0" applyFont="1"/>
    <xf numFmtId="0" fontId="13" fillId="0" borderId="0" xfId="0" applyFont="1"/>
    <xf numFmtId="1" fontId="0" fillId="0" borderId="0" xfId="0" applyNumberFormat="1"/>
    <xf numFmtId="1" fontId="0" fillId="0" borderId="1" xfId="0" applyNumberFormat="1" applyBorder="1"/>
    <xf numFmtId="1" fontId="0" fillId="0" borderId="5" xfId="0" applyNumberFormat="1" applyBorder="1"/>
    <xf numFmtId="1" fontId="0" fillId="0" borderId="6" xfId="0" applyNumberFormat="1" applyBorder="1"/>
    <xf numFmtId="0" fontId="1" fillId="2" borderId="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  <xf numFmtId="0" fontId="1" fillId="0" borderId="0" xfId="0" applyFont="1" applyFill="1" applyBorder="1"/>
    <xf numFmtId="0" fontId="7" fillId="0" borderId="5" xfId="0" applyFont="1" applyBorder="1"/>
    <xf numFmtId="0" fontId="7" fillId="0" borderId="0" xfId="0" applyFont="1" applyFill="1"/>
    <xf numFmtId="0" fontId="0" fillId="0" borderId="0" xfId="0"/>
    <xf numFmtId="0" fontId="0" fillId="0" borderId="0" xfId="0" applyFill="1"/>
    <xf numFmtId="0" fontId="0" fillId="0" borderId="0" xfId="0" applyFill="1" applyBorder="1"/>
    <xf numFmtId="2" fontId="0" fillId="0" borderId="0" xfId="0" applyNumberFormat="1" applyFill="1"/>
    <xf numFmtId="0" fontId="0" fillId="0" borderId="0" xfId="0" applyFont="1" applyFill="1" applyBorder="1"/>
    <xf numFmtId="2" fontId="0" fillId="0" borderId="0" xfId="0" applyNumberFormat="1" applyFill="1" applyBorder="1"/>
    <xf numFmtId="1" fontId="0" fillId="0" borderId="0" xfId="0" applyNumberFormat="1" applyFill="1" applyBorder="1"/>
    <xf numFmtId="0" fontId="3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quotePrefix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14" fillId="3" borderId="8" xfId="0" applyFont="1" applyFill="1" applyBorder="1"/>
    <xf numFmtId="0" fontId="0" fillId="3" borderId="8" xfId="0" applyFill="1" applyBorder="1"/>
    <xf numFmtId="0" fontId="0" fillId="0" borderId="0" xfId="0" quotePrefix="1"/>
    <xf numFmtId="165" fontId="0" fillId="4" borderId="7" xfId="0" applyNumberFormat="1" applyFill="1" applyBorder="1"/>
    <xf numFmtId="0" fontId="0" fillId="5" borderId="7" xfId="0" applyFont="1" applyFill="1" applyBorder="1"/>
    <xf numFmtId="0" fontId="0" fillId="6" borderId="7" xfId="0" applyFont="1" applyFill="1" applyBorder="1"/>
    <xf numFmtId="165" fontId="0" fillId="7" borderId="7" xfId="0" applyNumberFormat="1" applyFill="1" applyBorder="1"/>
    <xf numFmtId="165" fontId="0" fillId="8" borderId="7" xfId="0" applyNumberFormat="1" applyFill="1" applyBorder="1"/>
    <xf numFmtId="0" fontId="0" fillId="9" borderId="7" xfId="0" applyFont="1" applyFill="1" applyBorder="1"/>
    <xf numFmtId="165" fontId="0" fillId="5" borderId="7" xfId="0" applyNumberFormat="1" applyFont="1" applyFill="1" applyBorder="1"/>
    <xf numFmtId="165" fontId="0" fillId="6" borderId="7" xfId="0" applyNumberFormat="1" applyFont="1" applyFill="1" applyBorder="1"/>
    <xf numFmtId="165" fontId="0" fillId="9" borderId="7" xfId="0" applyNumberFormat="1" applyFont="1" applyFill="1" applyBorder="1"/>
    <xf numFmtId="0" fontId="0" fillId="10" borderId="7" xfId="0" applyFont="1" applyFill="1" applyBorder="1"/>
    <xf numFmtId="165" fontId="0" fillId="10" borderId="7" xfId="0" applyNumberFormat="1" applyFont="1" applyFill="1" applyBorder="1"/>
    <xf numFmtId="165" fontId="0" fillId="11" borderId="7" xfId="0" applyNumberFormat="1" applyFont="1" applyFill="1" applyBorder="1"/>
    <xf numFmtId="165" fontId="0" fillId="12" borderId="7" xfId="0" applyNumberFormat="1" applyFont="1" applyFill="1" applyBorder="1"/>
    <xf numFmtId="0" fontId="0" fillId="12" borderId="7" xfId="0" applyFont="1" applyFill="1" applyBorder="1"/>
    <xf numFmtId="0" fontId="0" fillId="11" borderId="7" xfId="0" applyFont="1" applyFill="1" applyBorder="1"/>
    <xf numFmtId="165" fontId="0" fillId="0" borderId="0" xfId="0" applyNumberFormat="1" applyBorder="1"/>
    <xf numFmtId="0" fontId="7" fillId="13" borderId="0" xfId="0" applyFont="1" applyFill="1"/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9" borderId="0" xfId="0" applyFill="1"/>
    <xf numFmtId="0" fontId="0" fillId="9" borderId="9" xfId="0" applyFill="1" applyBorder="1"/>
    <xf numFmtId="0" fontId="0" fillId="0" borderId="9" xfId="0" applyBorder="1"/>
    <xf numFmtId="0" fontId="7" fillId="14" borderId="0" xfId="0" applyFont="1" applyFill="1"/>
    <xf numFmtId="0" fontId="0" fillId="14" borderId="0" xfId="0" applyFill="1"/>
    <xf numFmtId="0" fontId="0" fillId="14" borderId="0" xfId="0" applyFont="1" applyFill="1"/>
    <xf numFmtId="0" fontId="1" fillId="14" borderId="0" xfId="1" applyFont="1" applyFill="1"/>
    <xf numFmtId="0" fontId="16" fillId="14" borderId="0" xfId="0" applyFont="1" applyFill="1"/>
    <xf numFmtId="0" fontId="0" fillId="14" borderId="0" xfId="0" applyFont="1" applyFill="1" applyBorder="1"/>
    <xf numFmtId="0" fontId="0" fillId="15" borderId="0" xfId="0" applyFill="1"/>
    <xf numFmtId="165" fontId="0" fillId="15" borderId="0" xfId="0" applyNumberFormat="1" applyFill="1"/>
    <xf numFmtId="165" fontId="0" fillId="0" borderId="0" xfId="0" applyNumberFormat="1"/>
    <xf numFmtId="0" fontId="0" fillId="9" borderId="6" xfId="0" applyFill="1" applyBorder="1" applyAlignment="1">
      <alignment horizontal="right"/>
    </xf>
    <xf numFmtId="0" fontId="0" fillId="9" borderId="0" xfId="0" applyFill="1" applyBorder="1" applyAlignment="1">
      <alignment horizontal="right"/>
    </xf>
  </cellXfs>
  <cellStyles count="2">
    <cellStyle name="Normal" xfId="0" builtinId="0"/>
    <cellStyle name="Standaard 2 2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'Protein concentration'!$A$15:$A$20</c:f>
              <c:numCache>
                <c:formatCode>General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'Protein concentration'!$D$15:$D$20</c:f>
              <c:numCache>
                <c:formatCode>General</c:formatCode>
                <c:ptCount val="6"/>
                <c:pt idx="0">
                  <c:v>0.5455000000000001</c:v>
                </c:pt>
                <c:pt idx="1">
                  <c:v>0.437</c:v>
                </c:pt>
                <c:pt idx="2">
                  <c:v>0.33700000000000002</c:v>
                </c:pt>
                <c:pt idx="3">
                  <c:v>0.2215</c:v>
                </c:pt>
                <c:pt idx="4">
                  <c:v>0.14749999999999999</c:v>
                </c:pt>
                <c:pt idx="5">
                  <c:v>7.7499999999999999E-2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4-46A8-BECC-B2F7D911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13</xdr:col>
      <xdr:colOff>438150</xdr:colOff>
      <xdr:row>21</xdr:row>
      <xdr:rowOff>161925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003645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003646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003647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00364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12"/>
  <sheetViews>
    <sheetView workbookViewId="0">
      <selection activeCell="C5" sqref="C5"/>
    </sheetView>
  </sheetViews>
  <sheetFormatPr defaultRowHeight="15" x14ac:dyDescent="0.25"/>
  <cols>
    <col min="2" max="2" width="23.5703125" customWidth="1"/>
    <col min="3" max="3" width="26.42578125" customWidth="1"/>
  </cols>
  <sheetData>
    <row r="3" spans="2:5" x14ac:dyDescent="0.25">
      <c r="B3" s="8" t="s">
        <v>3</v>
      </c>
      <c r="C3" s="9" t="s">
        <v>119</v>
      </c>
      <c r="D3" s="8"/>
      <c r="E3" s="8"/>
    </row>
    <row r="4" spans="2:5" x14ac:dyDescent="0.25">
      <c r="B4" s="8" t="s">
        <v>4</v>
      </c>
      <c r="C4" s="10">
        <v>44986</v>
      </c>
      <c r="D4" s="8"/>
      <c r="E4" s="8"/>
    </row>
    <row r="5" spans="2:5" x14ac:dyDescent="0.25">
      <c r="B5" s="13" t="s">
        <v>5</v>
      </c>
      <c r="C5" s="13" t="s">
        <v>118</v>
      </c>
      <c r="D5" s="12"/>
      <c r="E5" s="12"/>
    </row>
    <row r="6" spans="2:5" x14ac:dyDescent="0.25">
      <c r="B6" s="13" t="s">
        <v>7</v>
      </c>
      <c r="C6" s="13" t="s">
        <v>34</v>
      </c>
      <c r="D6" s="12"/>
      <c r="E6" s="12"/>
    </row>
    <row r="7" spans="2:5" x14ac:dyDescent="0.25">
      <c r="B7" s="8" t="s">
        <v>8</v>
      </c>
      <c r="C7" s="10" t="s">
        <v>35</v>
      </c>
      <c r="D7" s="8"/>
      <c r="E7" s="8"/>
    </row>
    <row r="8" spans="2:5" x14ac:dyDescent="0.25">
      <c r="B8" s="8" t="s">
        <v>9</v>
      </c>
      <c r="C8" s="10"/>
      <c r="D8" s="8"/>
      <c r="E8" s="8"/>
    </row>
    <row r="9" spans="2:5" x14ac:dyDescent="0.25">
      <c r="B9" s="8" t="s">
        <v>10</v>
      </c>
      <c r="C9" s="9" t="s">
        <v>107</v>
      </c>
    </row>
    <row r="10" spans="2:5" x14ac:dyDescent="0.25">
      <c r="C10" s="11"/>
    </row>
    <row r="11" spans="2:5" x14ac:dyDescent="0.25">
      <c r="C11" s="11"/>
    </row>
    <row r="12" spans="2:5" x14ac:dyDescent="0.25">
      <c r="B12" s="8" t="s">
        <v>6</v>
      </c>
      <c r="C12" s="10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M23"/>
  <sheetViews>
    <sheetView workbookViewId="0">
      <selection activeCell="C24" sqref="C24"/>
    </sheetView>
  </sheetViews>
  <sheetFormatPr defaultRowHeight="15" x14ac:dyDescent="0.25"/>
  <cols>
    <col min="2" max="2" width="17.140625" customWidth="1"/>
    <col min="3" max="3" width="18.28515625" customWidth="1"/>
    <col min="9" max="9" width="11.42578125" customWidth="1"/>
    <col min="10" max="10" width="30.42578125" customWidth="1"/>
    <col min="11" max="11" width="25.140625" customWidth="1"/>
  </cols>
  <sheetData>
    <row r="2" spans="2:13" x14ac:dyDescent="0.25">
      <c r="B2" s="12" t="s">
        <v>3</v>
      </c>
      <c r="C2" s="12" t="s">
        <v>33</v>
      </c>
      <c r="D2" s="1"/>
      <c r="E2" s="1"/>
      <c r="F2" s="1"/>
      <c r="J2" s="12"/>
      <c r="K2" s="12"/>
      <c r="L2" s="1"/>
      <c r="M2" s="1"/>
    </row>
    <row r="3" spans="2:13" x14ac:dyDescent="0.25">
      <c r="B3" s="12" t="s">
        <v>4</v>
      </c>
      <c r="C3" s="13">
        <v>44986</v>
      </c>
      <c r="D3" s="1"/>
      <c r="E3" s="1"/>
      <c r="F3" s="1"/>
      <c r="J3" s="12"/>
      <c r="K3" s="13"/>
      <c r="L3" s="1"/>
      <c r="M3" s="1"/>
    </row>
    <row r="4" spans="2:13" x14ac:dyDescent="0.25">
      <c r="B4" s="13" t="s">
        <v>5</v>
      </c>
      <c r="C4" s="13" t="s">
        <v>113</v>
      </c>
      <c r="D4" s="12"/>
      <c r="E4" s="12"/>
      <c r="F4" s="1"/>
      <c r="J4" s="13"/>
      <c r="K4" s="13"/>
      <c r="L4" s="12"/>
      <c r="M4" s="12"/>
    </row>
    <row r="5" spans="2:13" x14ac:dyDescent="0.25">
      <c r="B5" s="13" t="s">
        <v>7</v>
      </c>
      <c r="C5" s="13" t="s">
        <v>34</v>
      </c>
      <c r="D5" s="12"/>
      <c r="E5" s="12"/>
      <c r="F5" s="1"/>
      <c r="J5" s="13"/>
      <c r="K5" s="13"/>
      <c r="L5" s="12"/>
      <c r="M5" s="12"/>
    </row>
    <row r="6" spans="2:13" x14ac:dyDescent="0.25">
      <c r="B6" s="13" t="s">
        <v>13</v>
      </c>
      <c r="C6" s="13" t="s">
        <v>120</v>
      </c>
      <c r="D6" s="12"/>
      <c r="E6" s="12"/>
      <c r="F6" s="1"/>
      <c r="J6" s="13"/>
      <c r="K6" s="13"/>
      <c r="L6" s="12"/>
      <c r="M6" s="12"/>
    </row>
    <row r="7" spans="2:13" x14ac:dyDescent="0.25">
      <c r="B7" s="12" t="s">
        <v>12</v>
      </c>
      <c r="C7" s="12" t="s">
        <v>37</v>
      </c>
      <c r="D7" s="1"/>
      <c r="E7" s="1"/>
      <c r="F7" s="1"/>
      <c r="J7" s="12"/>
      <c r="K7" s="12"/>
      <c r="L7" s="1"/>
      <c r="M7" s="1"/>
    </row>
    <row r="8" spans="2:13" x14ac:dyDescent="0.25">
      <c r="B8" s="1"/>
      <c r="C8" s="1"/>
      <c r="D8" s="1"/>
      <c r="E8" s="1"/>
      <c r="F8" s="1"/>
      <c r="J8" s="1"/>
      <c r="K8" s="1"/>
      <c r="L8" s="1"/>
      <c r="M8" s="1"/>
    </row>
    <row r="10" spans="2:13" x14ac:dyDescent="0.25">
      <c r="B10" s="8" t="s">
        <v>11</v>
      </c>
      <c r="J10" s="8"/>
    </row>
    <row r="11" spans="2:13" x14ac:dyDescent="0.25">
      <c r="B11" t="s">
        <v>109</v>
      </c>
    </row>
    <row r="12" spans="2:13" x14ac:dyDescent="0.25">
      <c r="B12" t="s">
        <v>39</v>
      </c>
    </row>
    <row r="13" spans="2:13" x14ac:dyDescent="0.25">
      <c r="B13" t="s">
        <v>40</v>
      </c>
    </row>
    <row r="14" spans="2:13" x14ac:dyDescent="0.25">
      <c r="B14" t="s">
        <v>38</v>
      </c>
    </row>
    <row r="15" spans="2:13" x14ac:dyDescent="0.25">
      <c r="B15" t="s">
        <v>110</v>
      </c>
    </row>
    <row r="16" spans="2:13" x14ac:dyDescent="0.25">
      <c r="B16" t="s">
        <v>111</v>
      </c>
    </row>
    <row r="17" spans="1:10" x14ac:dyDescent="0.25">
      <c r="B17" t="s">
        <v>52</v>
      </c>
    </row>
    <row r="20" spans="1:10" ht="17.25" x14ac:dyDescent="0.25">
      <c r="A20" t="s">
        <v>113</v>
      </c>
      <c r="B20" t="s">
        <v>63</v>
      </c>
      <c r="C20" t="s">
        <v>121</v>
      </c>
      <c r="G20" s="53"/>
      <c r="H20" s="53"/>
      <c r="I20" s="53"/>
      <c r="J20" s="53"/>
    </row>
    <row r="21" spans="1:10" x14ac:dyDescent="0.25">
      <c r="B21" t="s">
        <v>64</v>
      </c>
      <c r="C21" t="s">
        <v>122</v>
      </c>
    </row>
    <row r="22" spans="1:10" x14ac:dyDescent="0.25">
      <c r="B22" t="s">
        <v>65</v>
      </c>
      <c r="C22" t="s">
        <v>112</v>
      </c>
    </row>
    <row r="23" spans="1:10" x14ac:dyDescent="0.25">
      <c r="B23" t="s">
        <v>66</v>
      </c>
      <c r="C23" t="s">
        <v>106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2:N66"/>
  <sheetViews>
    <sheetView workbookViewId="0">
      <selection activeCell="I12" sqref="I12"/>
    </sheetView>
  </sheetViews>
  <sheetFormatPr defaultRowHeight="15" x14ac:dyDescent="0.25"/>
  <cols>
    <col min="1" max="1" width="23.140625" customWidth="1"/>
    <col min="2" max="2" width="16.85546875" customWidth="1"/>
    <col min="3" max="3" width="17.42578125" customWidth="1"/>
    <col min="4" max="4" width="22.28515625" customWidth="1"/>
    <col min="5" max="6" width="16.28515625" customWidth="1"/>
    <col min="7" max="7" width="23.140625" bestFit="1" customWidth="1"/>
    <col min="8" max="10" width="10.7109375" customWidth="1"/>
  </cols>
  <sheetData>
    <row r="2" spans="1:12" x14ac:dyDescent="0.25">
      <c r="A2" s="12" t="s">
        <v>3</v>
      </c>
      <c r="B2" s="12" t="s">
        <v>119</v>
      </c>
      <c r="C2" s="12"/>
      <c r="D2" s="12"/>
    </row>
    <row r="3" spans="1:12" x14ac:dyDescent="0.25">
      <c r="A3" s="12" t="s">
        <v>4</v>
      </c>
      <c r="B3" s="13">
        <v>44986</v>
      </c>
      <c r="C3" s="12"/>
      <c r="D3" s="12"/>
    </row>
    <row r="4" spans="1:12" x14ac:dyDescent="0.25">
      <c r="A4" s="13" t="s">
        <v>14</v>
      </c>
      <c r="B4" s="13" t="s">
        <v>107</v>
      </c>
      <c r="C4" s="12"/>
      <c r="D4" s="12"/>
    </row>
    <row r="5" spans="1:12" x14ac:dyDescent="0.25">
      <c r="A5" s="13" t="s">
        <v>8</v>
      </c>
      <c r="B5" s="13" t="s">
        <v>35</v>
      </c>
      <c r="C5" s="12"/>
      <c r="D5" s="12"/>
    </row>
    <row r="6" spans="1:12" x14ac:dyDescent="0.25">
      <c r="A6" s="13" t="s">
        <v>15</v>
      </c>
      <c r="B6" s="14">
        <v>375</v>
      </c>
      <c r="C6" s="12"/>
      <c r="D6" s="12"/>
    </row>
    <row r="7" spans="1:12" x14ac:dyDescent="0.25">
      <c r="A7" s="13" t="s">
        <v>16</v>
      </c>
      <c r="B7" s="12">
        <v>50000</v>
      </c>
      <c r="C7" s="12"/>
      <c r="D7" s="12"/>
    </row>
    <row r="8" spans="1:12" x14ac:dyDescent="0.25">
      <c r="A8" s="13" t="s">
        <v>17</v>
      </c>
      <c r="B8" s="12" t="s">
        <v>41</v>
      </c>
      <c r="C8" s="12"/>
      <c r="D8" s="12"/>
    </row>
    <row r="9" spans="1:12" x14ac:dyDescent="0.25">
      <c r="A9" s="13" t="s">
        <v>9</v>
      </c>
      <c r="B9" s="12" t="s">
        <v>34</v>
      </c>
      <c r="C9" s="12"/>
      <c r="D9" s="12"/>
    </row>
    <row r="10" spans="1:12" x14ac:dyDescent="0.25">
      <c r="A10" s="13" t="s">
        <v>22</v>
      </c>
      <c r="B10" s="13" t="s">
        <v>36</v>
      </c>
      <c r="C10" s="12"/>
      <c r="D10" s="12"/>
    </row>
    <row r="11" spans="1:12" x14ac:dyDescent="0.25">
      <c r="A11" s="13" t="s">
        <v>23</v>
      </c>
      <c r="B11" s="12" t="s">
        <v>24</v>
      </c>
      <c r="C11" s="12"/>
      <c r="D11" s="12"/>
    </row>
    <row r="12" spans="1:12" x14ac:dyDescent="0.25">
      <c r="A12" s="13"/>
      <c r="B12" s="12"/>
      <c r="C12" s="12"/>
      <c r="D12" s="12"/>
    </row>
    <row r="13" spans="1:12" x14ac:dyDescent="0.25">
      <c r="A13" s="12"/>
      <c r="B13" s="12"/>
      <c r="C13" s="12"/>
      <c r="D13" s="12"/>
    </row>
    <row r="14" spans="1:12" x14ac:dyDescent="0.25">
      <c r="A14" t="s">
        <v>42</v>
      </c>
      <c r="F14" s="54"/>
      <c r="G14" s="54"/>
      <c r="H14" s="54"/>
      <c r="I14" s="59"/>
      <c r="J14" s="59"/>
      <c r="K14" s="54"/>
      <c r="L14" s="54"/>
    </row>
    <row r="15" spans="1:12" x14ac:dyDescent="0.25">
      <c r="F15" s="54"/>
      <c r="G15" s="54"/>
      <c r="H15" s="54"/>
      <c r="I15" s="54"/>
      <c r="J15" s="54"/>
      <c r="K15" s="54"/>
      <c r="L15" s="54"/>
    </row>
    <row r="16" spans="1:12" x14ac:dyDescent="0.25">
      <c r="A16" t="s">
        <v>45</v>
      </c>
      <c r="B16">
        <v>2</v>
      </c>
      <c r="C16">
        <v>5</v>
      </c>
      <c r="D16">
        <v>10</v>
      </c>
      <c r="F16" s="54"/>
      <c r="G16" s="54"/>
      <c r="H16" s="54"/>
      <c r="I16" s="54"/>
      <c r="J16" s="54"/>
      <c r="K16" s="54"/>
      <c r="L16" s="54"/>
    </row>
    <row r="17" spans="1:12" x14ac:dyDescent="0.25">
      <c r="A17" s="1" t="s">
        <v>43</v>
      </c>
      <c r="B17" s="44"/>
      <c r="C17" s="44"/>
      <c r="D17" s="44"/>
      <c r="E17" s="6" t="s">
        <v>55</v>
      </c>
      <c r="F17" s="54">
        <v>12</v>
      </c>
      <c r="G17" s="49"/>
      <c r="H17" s="60"/>
      <c r="I17" s="60"/>
      <c r="J17" s="60"/>
      <c r="K17" s="54"/>
      <c r="L17" s="54"/>
    </row>
    <row r="18" spans="1:12" x14ac:dyDescent="0.25">
      <c r="A18" s="1" t="s">
        <v>44</v>
      </c>
      <c r="B18" s="44"/>
      <c r="C18" s="44"/>
      <c r="D18" s="44"/>
      <c r="E18" s="6"/>
      <c r="F18" s="54"/>
      <c r="G18" s="49"/>
      <c r="H18" s="60"/>
      <c r="I18" s="60"/>
      <c r="J18" s="60"/>
      <c r="K18" s="54"/>
      <c r="L18" s="54"/>
    </row>
    <row r="19" spans="1:12" x14ac:dyDescent="0.25">
      <c r="A19" s="1" t="s">
        <v>43</v>
      </c>
      <c r="B19" s="44"/>
      <c r="C19" s="44"/>
      <c r="D19" s="44"/>
      <c r="E19" s="6" t="s">
        <v>56</v>
      </c>
      <c r="F19" s="54">
        <v>12</v>
      </c>
      <c r="G19" s="49"/>
      <c r="H19" s="60"/>
      <c r="I19" s="60"/>
      <c r="J19" s="60"/>
      <c r="K19" s="54"/>
      <c r="L19" s="54"/>
    </row>
    <row r="20" spans="1:12" x14ac:dyDescent="0.25">
      <c r="A20" s="1" t="s">
        <v>44</v>
      </c>
      <c r="B20" s="44"/>
      <c r="C20" s="44"/>
      <c r="D20" s="44"/>
      <c r="E20" s="6"/>
      <c r="F20" s="54"/>
      <c r="G20" s="49"/>
      <c r="H20" s="60"/>
      <c r="I20" s="60"/>
      <c r="J20" s="60"/>
      <c r="K20" s="54"/>
      <c r="L20" s="54"/>
    </row>
    <row r="21" spans="1:12" x14ac:dyDescent="0.25">
      <c r="B21" s="6"/>
      <c r="C21" s="6"/>
      <c r="D21" s="6"/>
      <c r="E21" s="6"/>
      <c r="F21" s="54"/>
      <c r="G21" s="61"/>
      <c r="H21" s="62"/>
      <c r="I21" s="62"/>
      <c r="J21" s="61"/>
      <c r="K21" s="54"/>
      <c r="L21" s="54"/>
    </row>
    <row r="22" spans="1:12" x14ac:dyDescent="0.25">
      <c r="F22" s="54"/>
      <c r="G22" s="54"/>
      <c r="H22" s="54"/>
      <c r="I22" s="54"/>
      <c r="J22" s="54"/>
      <c r="K22" s="54"/>
      <c r="L22" s="54"/>
    </row>
    <row r="23" spans="1:12" x14ac:dyDescent="0.25">
      <c r="A23" t="s">
        <v>45</v>
      </c>
      <c r="B23">
        <v>30</v>
      </c>
      <c r="C23">
        <v>60</v>
      </c>
      <c r="F23" s="54"/>
      <c r="G23" s="54"/>
      <c r="H23" s="54"/>
      <c r="I23" s="54"/>
      <c r="J23" s="54"/>
      <c r="K23" s="54"/>
      <c r="L23" s="54"/>
    </row>
    <row r="24" spans="1:12" x14ac:dyDescent="0.25">
      <c r="A24" s="1" t="s">
        <v>43</v>
      </c>
      <c r="B24" s="44"/>
      <c r="C24" s="44"/>
      <c r="D24" s="43"/>
      <c r="E24" s="6" t="s">
        <v>55</v>
      </c>
      <c r="F24" s="54">
        <v>8</v>
      </c>
      <c r="G24" s="49"/>
      <c r="H24" s="60"/>
      <c r="I24" s="60"/>
      <c r="J24" s="60"/>
      <c r="K24" s="54"/>
      <c r="L24" s="54"/>
    </row>
    <row r="25" spans="1:12" x14ac:dyDescent="0.25">
      <c r="A25" s="1" t="s">
        <v>44</v>
      </c>
      <c r="B25" s="44"/>
      <c r="C25" s="44"/>
      <c r="D25" s="16"/>
      <c r="E25" s="6"/>
      <c r="F25" s="54"/>
      <c r="G25" s="49"/>
      <c r="H25" s="60"/>
      <c r="I25" s="60"/>
      <c r="J25" s="60"/>
      <c r="K25" s="54"/>
      <c r="L25" s="54"/>
    </row>
    <row r="26" spans="1:12" x14ac:dyDescent="0.25">
      <c r="A26" s="1" t="s">
        <v>43</v>
      </c>
      <c r="B26" s="44"/>
      <c r="C26" s="44"/>
      <c r="D26" s="17"/>
      <c r="E26" s="6" t="s">
        <v>56</v>
      </c>
      <c r="F26" s="54">
        <v>8</v>
      </c>
      <c r="G26" s="49"/>
      <c r="H26" s="60"/>
      <c r="I26" s="60"/>
      <c r="J26" s="60"/>
      <c r="K26" s="54"/>
      <c r="L26" s="54"/>
    </row>
    <row r="27" spans="1:12" x14ac:dyDescent="0.25">
      <c r="A27" s="1" t="s">
        <v>44</v>
      </c>
      <c r="B27" s="44"/>
      <c r="C27" s="44"/>
      <c r="D27" s="16"/>
      <c r="E27" s="6"/>
      <c r="F27" s="54"/>
      <c r="G27" s="49"/>
      <c r="H27" s="60"/>
      <c r="I27" s="60"/>
      <c r="J27" s="60"/>
      <c r="K27" s="54"/>
      <c r="L27" s="54"/>
    </row>
    <row r="28" spans="1:12" x14ac:dyDescent="0.25">
      <c r="F28" s="54"/>
      <c r="G28" s="54"/>
      <c r="H28" s="54"/>
      <c r="I28" s="54"/>
      <c r="J28" s="54"/>
      <c r="K28" s="54"/>
      <c r="L28" s="54"/>
    </row>
    <row r="29" spans="1:12" x14ac:dyDescent="0.25">
      <c r="G29" s="46"/>
    </row>
    <row r="30" spans="1:12" x14ac:dyDescent="0.25">
      <c r="A30" s="8" t="s">
        <v>53</v>
      </c>
      <c r="D30" s="8" t="s">
        <v>54</v>
      </c>
      <c r="G30" s="46"/>
    </row>
    <row r="31" spans="1:12" x14ac:dyDescent="0.25">
      <c r="A31" s="8" t="s">
        <v>44</v>
      </c>
      <c r="D31" s="8" t="s">
        <v>44</v>
      </c>
      <c r="G31" s="46"/>
    </row>
    <row r="32" spans="1:12" x14ac:dyDescent="0.25">
      <c r="A32" s="30" t="s">
        <v>31</v>
      </c>
      <c r="B32" s="52">
        <v>635000</v>
      </c>
      <c r="C32" s="39"/>
      <c r="D32" s="40" t="s">
        <v>31</v>
      </c>
      <c r="E32" s="52">
        <v>635000</v>
      </c>
      <c r="G32" s="46"/>
      <c r="H32" s="46"/>
    </row>
    <row r="33" spans="1:14" x14ac:dyDescent="0.25">
      <c r="A33" s="31" t="s">
        <v>32</v>
      </c>
      <c r="B33" s="41">
        <f>B32/5</f>
        <v>127000</v>
      </c>
      <c r="C33" s="39"/>
      <c r="D33" s="42" t="s">
        <v>32</v>
      </c>
      <c r="E33" s="41">
        <f>E32/5</f>
        <v>127000</v>
      </c>
      <c r="G33" s="45"/>
      <c r="H33" s="54"/>
      <c r="I33" s="53"/>
      <c r="J33" s="53"/>
      <c r="K33" s="53"/>
      <c r="L33" s="53"/>
      <c r="M33" s="53"/>
      <c r="N33" s="53"/>
    </row>
    <row r="34" spans="1:14" x14ac:dyDescent="0.25">
      <c r="A34" s="31"/>
      <c r="B34" s="32"/>
      <c r="D34" s="31"/>
      <c r="E34" s="32"/>
      <c r="G34" s="46"/>
      <c r="H34" s="54"/>
      <c r="I34" s="53"/>
      <c r="J34" s="53"/>
    </row>
    <row r="35" spans="1:14" x14ac:dyDescent="0.25">
      <c r="A35" s="31" t="s">
        <v>18</v>
      </c>
      <c r="B35" s="50">
        <v>10</v>
      </c>
      <c r="D35" s="31" t="s">
        <v>18</v>
      </c>
      <c r="E35" s="32">
        <v>10</v>
      </c>
      <c r="G35" s="45"/>
      <c r="H35" s="54"/>
      <c r="I35" s="53"/>
      <c r="J35" s="53"/>
    </row>
    <row r="36" spans="1:14" x14ac:dyDescent="0.25">
      <c r="A36" s="31" t="s">
        <v>19</v>
      </c>
      <c r="B36" s="32">
        <v>1.2</v>
      </c>
      <c r="D36" s="31" t="s">
        <v>19</v>
      </c>
      <c r="E36" s="32">
        <v>1.2</v>
      </c>
      <c r="G36" s="47"/>
      <c r="H36" s="58"/>
      <c r="I36" s="53"/>
      <c r="J36" s="53"/>
    </row>
    <row r="37" spans="1:14" x14ac:dyDescent="0.25">
      <c r="A37" s="31" t="s">
        <v>21</v>
      </c>
      <c r="B37" s="32">
        <f>B6*B35*B36/1000</f>
        <v>4.5</v>
      </c>
      <c r="D37" s="31" t="s">
        <v>21</v>
      </c>
      <c r="E37" s="32">
        <f>B6*E35*E36/1000</f>
        <v>4.5</v>
      </c>
      <c r="G37" s="47"/>
      <c r="H37" s="58"/>
      <c r="I37" s="53"/>
      <c r="J37" s="53"/>
    </row>
    <row r="38" spans="1:14" x14ac:dyDescent="0.25">
      <c r="A38" s="31" t="s">
        <v>20</v>
      </c>
      <c r="B38" s="33">
        <f>(B7/B33)*B35*B36</f>
        <v>4.7244094488188972</v>
      </c>
      <c r="D38" s="31" t="s">
        <v>20</v>
      </c>
      <c r="E38" s="33">
        <f>(B7/E33)*E35*E36</f>
        <v>4.7244094488188972</v>
      </c>
      <c r="G38" s="46"/>
      <c r="H38" s="46"/>
    </row>
    <row r="39" spans="1:14" x14ac:dyDescent="0.25">
      <c r="A39" s="34" t="s">
        <v>46</v>
      </c>
      <c r="B39" s="35">
        <f>B37</f>
        <v>4.5</v>
      </c>
      <c r="D39" s="34" t="s">
        <v>46</v>
      </c>
      <c r="E39" s="35">
        <f>E37</f>
        <v>4.5</v>
      </c>
      <c r="G39" s="46"/>
      <c r="H39" s="46"/>
    </row>
    <row r="40" spans="1:14" x14ac:dyDescent="0.25">
      <c r="A40" s="8"/>
      <c r="D40" s="8"/>
      <c r="G40" s="46"/>
      <c r="H40" s="46"/>
    </row>
    <row r="41" spans="1:14" x14ac:dyDescent="0.25">
      <c r="G41" s="46"/>
      <c r="H41" s="46"/>
    </row>
    <row r="42" spans="1:14" x14ac:dyDescent="0.25">
      <c r="A42" s="8" t="s">
        <v>43</v>
      </c>
      <c r="D42" s="8" t="s">
        <v>43</v>
      </c>
      <c r="G42" s="46"/>
      <c r="H42" s="48"/>
    </row>
    <row r="43" spans="1:14" x14ac:dyDescent="0.25">
      <c r="A43" s="30" t="s">
        <v>47</v>
      </c>
      <c r="B43" s="52">
        <v>130000</v>
      </c>
      <c r="C43" s="39"/>
      <c r="D43" s="40" t="s">
        <v>47</v>
      </c>
      <c r="E43" s="52">
        <v>130000</v>
      </c>
      <c r="G43" s="46"/>
      <c r="H43" s="46"/>
    </row>
    <row r="44" spans="1:14" x14ac:dyDescent="0.25">
      <c r="A44" s="31" t="s">
        <v>48</v>
      </c>
      <c r="B44" s="41">
        <f>B43/5</f>
        <v>26000</v>
      </c>
      <c r="C44" s="39"/>
      <c r="D44" s="42" t="s">
        <v>48</v>
      </c>
      <c r="E44" s="41">
        <f>E43/5</f>
        <v>26000</v>
      </c>
      <c r="G44" s="46"/>
      <c r="H44" s="46"/>
    </row>
    <row r="45" spans="1:14" x14ac:dyDescent="0.25">
      <c r="A45" s="31"/>
      <c r="B45" s="32"/>
      <c r="D45" s="31"/>
      <c r="E45" s="32"/>
    </row>
    <row r="46" spans="1:14" x14ac:dyDescent="0.25">
      <c r="A46" s="31" t="s">
        <v>18</v>
      </c>
      <c r="B46" s="50">
        <v>10</v>
      </c>
      <c r="D46" s="31" t="s">
        <v>18</v>
      </c>
      <c r="E46" s="32">
        <v>10</v>
      </c>
    </row>
    <row r="47" spans="1:14" x14ac:dyDescent="0.25">
      <c r="A47" s="31" t="s">
        <v>19</v>
      </c>
      <c r="B47" s="32">
        <v>1.2</v>
      </c>
      <c r="D47" s="31" t="s">
        <v>19</v>
      </c>
      <c r="E47" s="32">
        <v>1.2</v>
      </c>
    </row>
    <row r="48" spans="1:14" x14ac:dyDescent="0.25">
      <c r="A48" s="31" t="s">
        <v>21</v>
      </c>
      <c r="B48" s="32">
        <f>B6*B46*B47/1000</f>
        <v>4.5</v>
      </c>
      <c r="D48" s="31" t="s">
        <v>21</v>
      </c>
      <c r="E48" s="32">
        <f>B6*E46*E47/1000</f>
        <v>4.5</v>
      </c>
    </row>
    <row r="49" spans="1:5" x14ac:dyDescent="0.25">
      <c r="A49" s="31" t="s">
        <v>49</v>
      </c>
      <c r="B49" s="33">
        <f>(B7/B44)*B46*B47</f>
        <v>23.076923076923077</v>
      </c>
      <c r="D49" s="31" t="s">
        <v>49</v>
      </c>
      <c r="E49" s="33">
        <f>(B7/E44)*E46*E47</f>
        <v>23.076923076923077</v>
      </c>
    </row>
    <row r="50" spans="1:5" x14ac:dyDescent="0.25">
      <c r="A50" s="34" t="s">
        <v>50</v>
      </c>
      <c r="B50" s="35">
        <f>B48</f>
        <v>4.5</v>
      </c>
      <c r="D50" s="34" t="s">
        <v>50</v>
      </c>
      <c r="E50" s="35">
        <f>E48</f>
        <v>4.5</v>
      </c>
    </row>
    <row r="53" spans="1:5" x14ac:dyDescent="0.25">
      <c r="A53" s="8" t="s">
        <v>94</v>
      </c>
    </row>
    <row r="54" spans="1:5" x14ac:dyDescent="0.25">
      <c r="B54" t="s">
        <v>0</v>
      </c>
      <c r="C54" t="s">
        <v>95</v>
      </c>
      <c r="E54" t="s">
        <v>98</v>
      </c>
    </row>
    <row r="55" spans="1:5" x14ac:dyDescent="0.25">
      <c r="A55" t="s">
        <v>87</v>
      </c>
      <c r="C55" s="39">
        <f>5*B55</f>
        <v>0</v>
      </c>
      <c r="D55" s="38" t="s">
        <v>97</v>
      </c>
    </row>
    <row r="56" spans="1:5" x14ac:dyDescent="0.25">
      <c r="A56" t="s">
        <v>88</v>
      </c>
      <c r="C56" s="39">
        <f t="shared" ref="C56:C58" si="0">5*B56</f>
        <v>0</v>
      </c>
      <c r="D56" s="37" t="s">
        <v>96</v>
      </c>
      <c r="E56" t="s">
        <v>101</v>
      </c>
    </row>
    <row r="57" spans="1:5" x14ac:dyDescent="0.25">
      <c r="A57" t="s">
        <v>89</v>
      </c>
      <c r="C57" s="39">
        <f t="shared" si="0"/>
        <v>0</v>
      </c>
      <c r="D57" s="38" t="s">
        <v>97</v>
      </c>
    </row>
    <row r="58" spans="1:5" x14ac:dyDescent="0.25">
      <c r="A58" t="s">
        <v>93</v>
      </c>
      <c r="C58" s="39">
        <f t="shared" si="0"/>
        <v>0</v>
      </c>
      <c r="D58" s="38" t="s">
        <v>97</v>
      </c>
    </row>
    <row r="61" spans="1:5" x14ac:dyDescent="0.25">
      <c r="A61" s="8" t="s">
        <v>99</v>
      </c>
    </row>
    <row r="62" spans="1:5" x14ac:dyDescent="0.25">
      <c r="B62" t="s">
        <v>0</v>
      </c>
      <c r="C62" t="s">
        <v>95</v>
      </c>
    </row>
    <row r="63" spans="1:5" x14ac:dyDescent="0.25">
      <c r="A63" t="s">
        <v>87</v>
      </c>
      <c r="C63" s="39">
        <f>5*B63</f>
        <v>0</v>
      </c>
      <c r="D63" s="38" t="s">
        <v>97</v>
      </c>
    </row>
    <row r="64" spans="1:5" x14ac:dyDescent="0.25">
      <c r="A64" t="s">
        <v>88</v>
      </c>
      <c r="C64" s="39">
        <f t="shared" ref="C64:C66" si="1">5*B64</f>
        <v>0</v>
      </c>
      <c r="D64" s="38" t="s">
        <v>97</v>
      </c>
    </row>
    <row r="65" spans="1:4" x14ac:dyDescent="0.25">
      <c r="A65" t="s">
        <v>89</v>
      </c>
      <c r="C65" s="39">
        <f t="shared" si="1"/>
        <v>0</v>
      </c>
      <c r="D65" s="38" t="s">
        <v>97</v>
      </c>
    </row>
    <row r="66" spans="1:4" x14ac:dyDescent="0.25">
      <c r="A66" t="s">
        <v>93</v>
      </c>
      <c r="C66" s="39">
        <f t="shared" si="1"/>
        <v>0</v>
      </c>
      <c r="D66" s="38" t="s">
        <v>97</v>
      </c>
    </row>
  </sheetData>
  <pageMargins left="0.7" right="0.7" top="0.75" bottom="0.75" header="0.3" footer="0.3"/>
  <pageSetup paperSize="9" scale="7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S60"/>
  <sheetViews>
    <sheetView workbookViewId="0">
      <selection activeCell="Q32" sqref="Q32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24.7109375" customWidth="1"/>
    <col min="4" max="4" width="17.42578125" customWidth="1"/>
    <col min="5" max="5" width="6.7109375" customWidth="1"/>
    <col min="6" max="6" width="5" customWidth="1"/>
    <col min="7" max="8" width="4.140625" bestFit="1" customWidth="1"/>
    <col min="9" max="9" width="6" bestFit="1" customWidth="1"/>
    <col min="10" max="10" width="12.28515625" bestFit="1" customWidth="1"/>
    <col min="11" max="11" width="11.85546875" bestFit="1" customWidth="1"/>
    <col min="12" max="12" width="9.7109375" customWidth="1"/>
    <col min="13" max="13" width="12" bestFit="1" customWidth="1"/>
    <col min="14" max="14" width="9.28515625" bestFit="1" customWidth="1"/>
    <col min="15" max="15" width="19" customWidth="1"/>
  </cols>
  <sheetData>
    <row r="2" spans="1:19" x14ac:dyDescent="0.25">
      <c r="A2" t="s">
        <v>68</v>
      </c>
      <c r="B2" t="s">
        <v>69</v>
      </c>
      <c r="C2" s="18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</row>
    <row r="3" spans="1:19" x14ac:dyDescent="0.25">
      <c r="A3">
        <v>61</v>
      </c>
      <c r="B3" t="s">
        <v>82</v>
      </c>
      <c r="C3" s="18">
        <v>44776.417824074073</v>
      </c>
      <c r="D3">
        <v>0</v>
      </c>
      <c r="E3">
        <v>3644</v>
      </c>
      <c r="F3">
        <v>1</v>
      </c>
      <c r="G3">
        <v>1</v>
      </c>
      <c r="H3">
        <v>1</v>
      </c>
      <c r="I3">
        <v>60.04</v>
      </c>
      <c r="K3">
        <v>406127.05</v>
      </c>
      <c r="L3">
        <v>413209.23</v>
      </c>
      <c r="M3">
        <v>0.16</v>
      </c>
      <c r="P3" t="s">
        <v>51</v>
      </c>
      <c r="S3" t="s">
        <v>85</v>
      </c>
    </row>
    <row r="4" spans="1:19" x14ac:dyDescent="0.25">
      <c r="A4">
        <v>61</v>
      </c>
      <c r="B4" t="s">
        <v>82</v>
      </c>
      <c r="C4" s="18">
        <v>44776.417824074073</v>
      </c>
      <c r="D4">
        <v>0</v>
      </c>
      <c r="E4">
        <v>3644</v>
      </c>
      <c r="F4">
        <v>1</v>
      </c>
      <c r="G4">
        <v>2</v>
      </c>
      <c r="H4">
        <v>2</v>
      </c>
      <c r="I4">
        <v>60.04</v>
      </c>
      <c r="K4">
        <v>131272.56</v>
      </c>
      <c r="L4">
        <v>132415.66</v>
      </c>
      <c r="M4">
        <v>0.28000000000000003</v>
      </c>
      <c r="P4" t="s">
        <v>84</v>
      </c>
    </row>
    <row r="5" spans="1:19" x14ac:dyDescent="0.25">
      <c r="A5">
        <v>61</v>
      </c>
      <c r="B5" t="s">
        <v>82</v>
      </c>
      <c r="C5" s="18">
        <v>44776.417824074073</v>
      </c>
      <c r="D5">
        <v>0</v>
      </c>
      <c r="E5">
        <v>3644</v>
      </c>
      <c r="F5">
        <v>1</v>
      </c>
      <c r="G5">
        <v>3</v>
      </c>
      <c r="H5">
        <v>3</v>
      </c>
      <c r="I5">
        <v>60.04</v>
      </c>
      <c r="K5">
        <v>36</v>
      </c>
      <c r="L5">
        <v>19.64</v>
      </c>
      <c r="M5">
        <v>22.63</v>
      </c>
      <c r="N5" t="s">
        <v>83</v>
      </c>
    </row>
    <row r="6" spans="1:19" x14ac:dyDescent="0.25">
      <c r="C6" s="18"/>
    </row>
    <row r="7" spans="1:19" x14ac:dyDescent="0.25">
      <c r="C7" s="18"/>
    </row>
    <row r="8" spans="1:19" x14ac:dyDescent="0.25">
      <c r="C8" s="18"/>
    </row>
    <row r="9" spans="1:19" x14ac:dyDescent="0.25">
      <c r="A9" t="s">
        <v>68</v>
      </c>
      <c r="B9" t="s">
        <v>69</v>
      </c>
      <c r="C9" s="18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</row>
    <row r="10" spans="1:19" x14ac:dyDescent="0.25">
      <c r="A10">
        <v>61</v>
      </c>
      <c r="B10" t="s">
        <v>82</v>
      </c>
      <c r="C10" s="18">
        <v>44776.426689814813</v>
      </c>
      <c r="D10">
        <v>0</v>
      </c>
      <c r="E10">
        <v>3645</v>
      </c>
      <c r="F10">
        <v>1</v>
      </c>
      <c r="G10">
        <v>1</v>
      </c>
      <c r="H10">
        <v>1</v>
      </c>
      <c r="I10">
        <v>60.04</v>
      </c>
      <c r="K10">
        <v>768243.02</v>
      </c>
      <c r="L10">
        <v>793487.03</v>
      </c>
      <c r="M10">
        <v>0.11</v>
      </c>
      <c r="P10" t="s">
        <v>86</v>
      </c>
      <c r="S10" t="s">
        <v>91</v>
      </c>
    </row>
    <row r="11" spans="1:19" x14ac:dyDescent="0.25">
      <c r="A11">
        <v>61</v>
      </c>
      <c r="B11" t="s">
        <v>82</v>
      </c>
      <c r="C11" s="18">
        <v>44776.426689814813</v>
      </c>
      <c r="D11">
        <v>0</v>
      </c>
      <c r="E11">
        <v>3645</v>
      </c>
      <c r="F11">
        <v>1</v>
      </c>
      <c r="G11">
        <v>2</v>
      </c>
      <c r="H11">
        <v>2</v>
      </c>
      <c r="I11">
        <v>60.04</v>
      </c>
      <c r="K11">
        <v>29</v>
      </c>
      <c r="L11">
        <v>15.09</v>
      </c>
      <c r="M11">
        <v>25.79</v>
      </c>
      <c r="N11" t="s">
        <v>83</v>
      </c>
    </row>
    <row r="12" spans="1:19" x14ac:dyDescent="0.25">
      <c r="A12">
        <v>61</v>
      </c>
      <c r="B12" t="s">
        <v>82</v>
      </c>
      <c r="C12" s="18">
        <v>44776.426689814813</v>
      </c>
      <c r="D12">
        <v>0</v>
      </c>
      <c r="E12">
        <v>3645</v>
      </c>
      <c r="F12">
        <v>1</v>
      </c>
      <c r="G12">
        <v>3</v>
      </c>
      <c r="H12">
        <v>3</v>
      </c>
      <c r="I12">
        <v>60.04</v>
      </c>
      <c r="K12">
        <v>32</v>
      </c>
      <c r="L12">
        <v>15.62</v>
      </c>
      <c r="M12">
        <v>25.38</v>
      </c>
      <c r="N12" t="s">
        <v>83</v>
      </c>
    </row>
    <row r="13" spans="1:19" x14ac:dyDescent="0.25">
      <c r="A13">
        <v>61</v>
      </c>
      <c r="B13" t="s">
        <v>82</v>
      </c>
      <c r="C13" s="18">
        <v>44776.426689814813</v>
      </c>
      <c r="D13">
        <v>0</v>
      </c>
      <c r="E13">
        <v>3645</v>
      </c>
      <c r="F13">
        <v>1</v>
      </c>
      <c r="G13">
        <v>4</v>
      </c>
      <c r="H13">
        <v>4</v>
      </c>
      <c r="I13">
        <v>60.04</v>
      </c>
      <c r="K13">
        <v>37</v>
      </c>
      <c r="L13">
        <v>21.54</v>
      </c>
      <c r="M13">
        <v>21.58</v>
      </c>
      <c r="N13" t="s">
        <v>83</v>
      </c>
    </row>
    <row r="14" spans="1:19" x14ac:dyDescent="0.25">
      <c r="A14">
        <v>61</v>
      </c>
      <c r="B14" t="s">
        <v>82</v>
      </c>
      <c r="C14" s="18">
        <v>44776.426689814813</v>
      </c>
      <c r="D14">
        <v>0</v>
      </c>
      <c r="E14">
        <v>3645</v>
      </c>
      <c r="F14">
        <v>1</v>
      </c>
      <c r="G14">
        <v>5</v>
      </c>
      <c r="H14">
        <v>5</v>
      </c>
      <c r="I14">
        <v>60.04</v>
      </c>
      <c r="K14">
        <v>68</v>
      </c>
      <c r="L14">
        <v>52.12</v>
      </c>
      <c r="M14">
        <v>13.76</v>
      </c>
      <c r="N14" t="s">
        <v>83</v>
      </c>
    </row>
    <row r="15" spans="1:19" x14ac:dyDescent="0.25">
      <c r="A15">
        <v>61</v>
      </c>
      <c r="B15" t="s">
        <v>82</v>
      </c>
      <c r="C15" s="18">
        <v>44776.427581018521</v>
      </c>
      <c r="D15">
        <v>0</v>
      </c>
      <c r="E15">
        <v>3645</v>
      </c>
      <c r="F15">
        <v>1</v>
      </c>
      <c r="G15">
        <v>1</v>
      </c>
      <c r="H15">
        <v>6</v>
      </c>
      <c r="I15">
        <v>60.04</v>
      </c>
      <c r="K15">
        <v>20.56</v>
      </c>
      <c r="L15">
        <v>3.7</v>
      </c>
      <c r="M15">
        <v>52</v>
      </c>
      <c r="N15" t="s">
        <v>83</v>
      </c>
    </row>
    <row r="16" spans="1:19" x14ac:dyDescent="0.25">
      <c r="A16">
        <v>61</v>
      </c>
      <c r="B16" t="s">
        <v>82</v>
      </c>
      <c r="C16" s="18">
        <v>44776.427581018521</v>
      </c>
      <c r="D16">
        <v>0</v>
      </c>
      <c r="E16">
        <v>3645</v>
      </c>
      <c r="F16">
        <v>1</v>
      </c>
      <c r="G16">
        <v>2</v>
      </c>
      <c r="H16">
        <v>7</v>
      </c>
      <c r="I16">
        <v>60.04</v>
      </c>
      <c r="K16">
        <v>21</v>
      </c>
      <c r="L16">
        <v>7.06</v>
      </c>
      <c r="M16">
        <v>37.700000000000003</v>
      </c>
      <c r="N16" t="s">
        <v>83</v>
      </c>
    </row>
    <row r="17" spans="1:19" x14ac:dyDescent="0.25">
      <c r="A17">
        <v>61</v>
      </c>
      <c r="B17" t="s">
        <v>82</v>
      </c>
      <c r="C17" s="18">
        <v>44776.427581018521</v>
      </c>
      <c r="D17">
        <v>0</v>
      </c>
      <c r="E17">
        <v>3645</v>
      </c>
      <c r="F17">
        <v>1</v>
      </c>
      <c r="G17">
        <v>3</v>
      </c>
      <c r="H17">
        <v>8</v>
      </c>
      <c r="I17">
        <v>60.04</v>
      </c>
      <c r="K17">
        <v>26</v>
      </c>
      <c r="L17">
        <v>9.59</v>
      </c>
      <c r="M17">
        <v>32.39</v>
      </c>
      <c r="N17" t="s">
        <v>83</v>
      </c>
    </row>
    <row r="18" spans="1:19" x14ac:dyDescent="0.25">
      <c r="A18">
        <v>61</v>
      </c>
      <c r="B18" t="s">
        <v>82</v>
      </c>
      <c r="C18" s="18">
        <v>44776.427581018521</v>
      </c>
      <c r="D18">
        <v>0</v>
      </c>
      <c r="E18">
        <v>3645</v>
      </c>
      <c r="F18">
        <v>1</v>
      </c>
      <c r="G18">
        <v>4</v>
      </c>
      <c r="H18">
        <v>9</v>
      </c>
      <c r="I18">
        <v>60.04</v>
      </c>
      <c r="K18">
        <v>26</v>
      </c>
      <c r="L18">
        <v>10.51</v>
      </c>
      <c r="M18">
        <v>30.89</v>
      </c>
      <c r="N18" t="s">
        <v>83</v>
      </c>
    </row>
    <row r="19" spans="1:19" x14ac:dyDescent="0.25">
      <c r="A19">
        <v>61</v>
      </c>
      <c r="B19" t="s">
        <v>82</v>
      </c>
      <c r="C19" s="18">
        <v>44776.427581018521</v>
      </c>
      <c r="D19">
        <v>0</v>
      </c>
      <c r="E19">
        <v>3645</v>
      </c>
      <c r="F19">
        <v>1</v>
      </c>
      <c r="G19">
        <v>5</v>
      </c>
      <c r="H19">
        <v>10</v>
      </c>
      <c r="I19">
        <v>60.04</v>
      </c>
      <c r="K19">
        <v>29</v>
      </c>
      <c r="L19">
        <v>13.69</v>
      </c>
      <c r="M19">
        <v>26.84</v>
      </c>
      <c r="N19" t="s">
        <v>83</v>
      </c>
    </row>
    <row r="23" spans="1:19" x14ac:dyDescent="0.25">
      <c r="A23" s="52" t="s">
        <v>68</v>
      </c>
      <c r="B23" s="52" t="s">
        <v>69</v>
      </c>
      <c r="C23" s="52" t="s">
        <v>70</v>
      </c>
      <c r="D23" s="52" t="s">
        <v>71</v>
      </c>
      <c r="E23" s="52" t="s">
        <v>72</v>
      </c>
      <c r="F23" s="52" t="s">
        <v>73</v>
      </c>
      <c r="G23" s="52" t="s">
        <v>74</v>
      </c>
      <c r="H23" s="52" t="s">
        <v>75</v>
      </c>
      <c r="I23" s="52" t="s">
        <v>76</v>
      </c>
      <c r="J23" s="52" t="s">
        <v>77</v>
      </c>
      <c r="K23" s="52" t="s">
        <v>78</v>
      </c>
      <c r="L23" s="52" t="s">
        <v>79</v>
      </c>
      <c r="M23" s="52" t="s">
        <v>80</v>
      </c>
      <c r="N23" s="52" t="s">
        <v>81</v>
      </c>
    </row>
    <row r="24" spans="1:19" x14ac:dyDescent="0.25">
      <c r="A24" s="52">
        <v>61</v>
      </c>
      <c r="B24" s="52" t="s">
        <v>82</v>
      </c>
      <c r="C24" s="18">
        <v>44986.488506944443</v>
      </c>
      <c r="D24" s="52">
        <v>0</v>
      </c>
      <c r="E24" s="52">
        <v>4042</v>
      </c>
      <c r="F24" s="52">
        <v>1</v>
      </c>
      <c r="G24" s="52">
        <v>1</v>
      </c>
      <c r="H24" s="52">
        <v>1</v>
      </c>
      <c r="I24" s="52">
        <v>60.04</v>
      </c>
      <c r="J24" s="52"/>
      <c r="K24" s="52">
        <v>9924.26</v>
      </c>
      <c r="L24" s="52">
        <v>9906.31</v>
      </c>
      <c r="M24" s="52">
        <v>1.01</v>
      </c>
      <c r="N24" s="52"/>
      <c r="O24" t="s">
        <v>92</v>
      </c>
      <c r="P24" t="s">
        <v>87</v>
      </c>
      <c r="Q24" s="38" t="s">
        <v>97</v>
      </c>
      <c r="S24" t="s">
        <v>236</v>
      </c>
    </row>
    <row r="25" spans="1:19" x14ac:dyDescent="0.25">
      <c r="A25" s="52">
        <v>61</v>
      </c>
      <c r="B25" s="52" t="s">
        <v>82</v>
      </c>
      <c r="C25" s="18">
        <v>44986.488506944443</v>
      </c>
      <c r="D25" s="52">
        <v>0</v>
      </c>
      <c r="E25" s="52">
        <v>4042</v>
      </c>
      <c r="F25" s="52">
        <v>1</v>
      </c>
      <c r="G25" s="52">
        <v>2</v>
      </c>
      <c r="H25" s="52">
        <v>2</v>
      </c>
      <c r="I25" s="52">
        <v>60.04</v>
      </c>
      <c r="J25" s="52"/>
      <c r="K25" s="52">
        <v>10774</v>
      </c>
      <c r="L25" s="52">
        <v>10796.52</v>
      </c>
      <c r="M25" s="52">
        <v>0.96</v>
      </c>
      <c r="N25" s="52"/>
      <c r="P25" t="s">
        <v>88</v>
      </c>
      <c r="Q25" s="38" t="s">
        <v>97</v>
      </c>
    </row>
    <row r="26" spans="1:19" x14ac:dyDescent="0.25">
      <c r="A26" s="52">
        <v>61</v>
      </c>
      <c r="B26" s="52" t="s">
        <v>82</v>
      </c>
      <c r="C26" s="18">
        <v>44986.488506944443</v>
      </c>
      <c r="D26" s="52">
        <v>0</v>
      </c>
      <c r="E26" s="52">
        <v>4042</v>
      </c>
      <c r="F26" s="52">
        <v>1</v>
      </c>
      <c r="G26" s="52">
        <v>3</v>
      </c>
      <c r="H26" s="52">
        <v>3</v>
      </c>
      <c r="I26" s="52">
        <v>60.04</v>
      </c>
      <c r="J26" s="52"/>
      <c r="K26" s="52">
        <v>8229.36</v>
      </c>
      <c r="L26" s="52">
        <v>8255.7199999999993</v>
      </c>
      <c r="M26" s="52">
        <v>1.1000000000000001</v>
      </c>
      <c r="N26" s="52"/>
      <c r="P26" t="s">
        <v>89</v>
      </c>
      <c r="Q26" s="38" t="s">
        <v>97</v>
      </c>
    </row>
    <row r="27" spans="1:19" x14ac:dyDescent="0.25">
      <c r="A27" s="52">
        <v>61</v>
      </c>
      <c r="B27" s="52" t="s">
        <v>82</v>
      </c>
      <c r="C27" s="18">
        <v>44986.488506944443</v>
      </c>
      <c r="D27" s="52">
        <v>0</v>
      </c>
      <c r="E27" s="52">
        <v>4042</v>
      </c>
      <c r="F27" s="52">
        <v>1</v>
      </c>
      <c r="G27" s="52">
        <v>4</v>
      </c>
      <c r="H27" s="52">
        <v>4</v>
      </c>
      <c r="I27" s="52">
        <v>60.04</v>
      </c>
      <c r="J27" s="52"/>
      <c r="K27" s="52">
        <v>9993.5400000000009</v>
      </c>
      <c r="L27" s="52">
        <v>10001.51</v>
      </c>
      <c r="M27" s="52">
        <v>1</v>
      </c>
      <c r="N27" s="52"/>
      <c r="P27" t="s">
        <v>93</v>
      </c>
      <c r="Q27" s="38" t="s">
        <v>97</v>
      </c>
    </row>
    <row r="28" spans="1:19" x14ac:dyDescent="0.25">
      <c r="A28" s="52">
        <v>61</v>
      </c>
      <c r="B28" s="52" t="s">
        <v>82</v>
      </c>
      <c r="C28" s="18">
        <v>44986.488506944443</v>
      </c>
      <c r="D28" s="52">
        <v>0</v>
      </c>
      <c r="E28" s="52">
        <v>4042</v>
      </c>
      <c r="F28" s="52">
        <v>1</v>
      </c>
      <c r="G28" s="52">
        <v>5</v>
      </c>
      <c r="H28" s="52">
        <v>5</v>
      </c>
      <c r="I28" s="52">
        <v>60.04</v>
      </c>
      <c r="J28" s="52"/>
      <c r="K28" s="52">
        <v>26</v>
      </c>
      <c r="L28" s="52">
        <v>3.68</v>
      </c>
      <c r="M28" s="52">
        <v>51.76</v>
      </c>
      <c r="N28" s="52" t="s">
        <v>83</v>
      </c>
      <c r="Q28" s="37"/>
    </row>
    <row r="29" spans="1:19" x14ac:dyDescent="0.25">
      <c r="A29" s="52">
        <v>61</v>
      </c>
      <c r="B29" s="52" t="s">
        <v>82</v>
      </c>
      <c r="C29" s="18">
        <v>44986.489398148151</v>
      </c>
      <c r="D29" s="52">
        <v>0</v>
      </c>
      <c r="E29" s="52">
        <v>4042</v>
      </c>
      <c r="F29" s="52">
        <v>1</v>
      </c>
      <c r="G29" s="52">
        <v>1</v>
      </c>
      <c r="H29" s="52">
        <v>6</v>
      </c>
      <c r="I29" s="52">
        <v>60.04</v>
      </c>
      <c r="J29" s="52"/>
      <c r="K29" s="52">
        <v>35</v>
      </c>
      <c r="L29" s="52">
        <v>9.39</v>
      </c>
      <c r="M29" s="52">
        <v>32.659999999999997</v>
      </c>
      <c r="N29" s="52" t="s">
        <v>83</v>
      </c>
    </row>
    <row r="30" spans="1:19" x14ac:dyDescent="0.25">
      <c r="A30" s="52">
        <v>61</v>
      </c>
      <c r="B30" s="52" t="s">
        <v>82</v>
      </c>
      <c r="C30" s="18">
        <v>44986.489398148151</v>
      </c>
      <c r="D30" s="52">
        <v>0</v>
      </c>
      <c r="E30" s="52">
        <v>4042</v>
      </c>
      <c r="F30" s="52">
        <v>1</v>
      </c>
      <c r="G30" s="52">
        <v>2</v>
      </c>
      <c r="H30" s="52">
        <v>7</v>
      </c>
      <c r="I30" s="52">
        <v>60.04</v>
      </c>
      <c r="J30" s="52"/>
      <c r="K30" s="52">
        <v>28.49</v>
      </c>
      <c r="L30" s="52">
        <v>10.76</v>
      </c>
      <c r="M30" s="52">
        <v>30.54</v>
      </c>
      <c r="N30" s="52" t="s">
        <v>83</v>
      </c>
    </row>
    <row r="31" spans="1:19" x14ac:dyDescent="0.25">
      <c r="A31" s="52">
        <v>61</v>
      </c>
      <c r="B31" s="52" t="s">
        <v>82</v>
      </c>
      <c r="C31" s="18">
        <v>44986.489398148151</v>
      </c>
      <c r="D31" s="52">
        <v>0</v>
      </c>
      <c r="E31" s="52">
        <v>4042</v>
      </c>
      <c r="F31" s="52">
        <v>1</v>
      </c>
      <c r="G31" s="52">
        <v>3</v>
      </c>
      <c r="H31" s="52">
        <v>8</v>
      </c>
      <c r="I31" s="52">
        <v>60.04</v>
      </c>
      <c r="J31" s="52"/>
      <c r="K31" s="52">
        <v>54</v>
      </c>
      <c r="L31" s="52">
        <v>34.020000000000003</v>
      </c>
      <c r="M31" s="52">
        <v>17.2</v>
      </c>
      <c r="N31" s="52" t="s">
        <v>83</v>
      </c>
    </row>
    <row r="32" spans="1:19" x14ac:dyDescent="0.25">
      <c r="A32" s="52">
        <v>61</v>
      </c>
      <c r="B32" s="52" t="s">
        <v>82</v>
      </c>
      <c r="C32" s="18">
        <v>44986.489398148151</v>
      </c>
      <c r="D32" s="52">
        <v>0</v>
      </c>
      <c r="E32" s="52">
        <v>4042</v>
      </c>
      <c r="F32" s="52">
        <v>1</v>
      </c>
      <c r="G32" s="52">
        <v>4</v>
      </c>
      <c r="H32" s="52">
        <v>9</v>
      </c>
      <c r="I32" s="52">
        <v>60.04</v>
      </c>
      <c r="J32" s="52"/>
      <c r="K32" s="52">
        <v>20.09</v>
      </c>
      <c r="L32" s="52">
        <v>0.53</v>
      </c>
      <c r="M32" s="52">
        <v>138.07</v>
      </c>
      <c r="N32" s="52" t="s">
        <v>83</v>
      </c>
    </row>
    <row r="33" spans="1:17" x14ac:dyDescent="0.25">
      <c r="A33" s="52">
        <v>61</v>
      </c>
      <c r="B33" s="52" t="s">
        <v>82</v>
      </c>
      <c r="C33" s="18">
        <v>44986.489398148151</v>
      </c>
      <c r="D33" s="52">
        <v>0</v>
      </c>
      <c r="E33" s="52">
        <v>4042</v>
      </c>
      <c r="F33" s="52">
        <v>1</v>
      </c>
      <c r="G33" s="52">
        <v>5</v>
      </c>
      <c r="H33" s="52">
        <v>10</v>
      </c>
      <c r="I33" s="52">
        <v>60.04</v>
      </c>
      <c r="J33" s="52"/>
      <c r="K33" s="52">
        <v>20</v>
      </c>
      <c r="L33" s="52">
        <v>0</v>
      </c>
      <c r="M33" s="52">
        <v>0</v>
      </c>
      <c r="N33" s="52" t="s">
        <v>83</v>
      </c>
    </row>
    <row r="37" spans="1:17" x14ac:dyDescent="0.2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 spans="1:17" x14ac:dyDescent="0.25">
      <c r="A38" s="52"/>
      <c r="B38" s="52"/>
      <c r="C38" s="18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P38" s="52"/>
      <c r="Q38" s="38"/>
    </row>
    <row r="39" spans="1:17" x14ac:dyDescent="0.25">
      <c r="A39" s="52"/>
      <c r="B39" s="52"/>
      <c r="C39" s="18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P39" s="52"/>
      <c r="Q39" s="38"/>
    </row>
    <row r="40" spans="1:17" x14ac:dyDescent="0.25">
      <c r="A40" s="52"/>
      <c r="B40" s="52"/>
      <c r="C40" s="18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P40" s="52"/>
      <c r="Q40" s="38"/>
    </row>
    <row r="41" spans="1:17" x14ac:dyDescent="0.25">
      <c r="A41" s="52"/>
      <c r="B41" s="52"/>
      <c r="C41" s="18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P41" s="52"/>
      <c r="Q41" s="38"/>
    </row>
    <row r="42" spans="1:17" x14ac:dyDescent="0.25">
      <c r="A42" s="52"/>
      <c r="B42" s="52"/>
      <c r="C42" s="18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7" x14ac:dyDescent="0.25">
      <c r="A43" s="52"/>
      <c r="B43" s="52"/>
      <c r="C43" s="18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7" x14ac:dyDescent="0.25">
      <c r="A44" s="52"/>
      <c r="B44" s="52"/>
      <c r="C44" s="18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7" x14ac:dyDescent="0.25">
      <c r="A45" s="52"/>
      <c r="B45" s="52"/>
      <c r="C45" s="18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1:17" x14ac:dyDescent="0.25">
      <c r="A46" s="52"/>
      <c r="B46" s="52"/>
      <c r="C46" s="18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 spans="1:17" x14ac:dyDescent="0.25">
      <c r="A47" s="52"/>
      <c r="B47" s="52"/>
      <c r="C47" s="1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51" spans="1:17" x14ac:dyDescent="0.25">
      <c r="A51" s="52"/>
      <c r="B51" s="52"/>
      <c r="C51" s="18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Q51" s="38"/>
    </row>
    <row r="52" spans="1:17" x14ac:dyDescent="0.25">
      <c r="A52" s="52"/>
      <c r="B52" s="52"/>
      <c r="C52" s="18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 spans="1:17" x14ac:dyDescent="0.25">
      <c r="A53" s="52"/>
      <c r="B53" s="52"/>
      <c r="C53" s="18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Q53" s="38"/>
    </row>
    <row r="54" spans="1:17" x14ac:dyDescent="0.25">
      <c r="A54" s="52"/>
      <c r="B54" s="52"/>
      <c r="C54" s="18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 spans="1:17" x14ac:dyDescent="0.25">
      <c r="A55" s="52"/>
      <c r="B55" s="52"/>
      <c r="C55" s="18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17" x14ac:dyDescent="0.25">
      <c r="A56" s="52"/>
      <c r="B56" s="52"/>
      <c r="C56" s="18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</row>
    <row r="57" spans="1:17" x14ac:dyDescent="0.25">
      <c r="A57" s="52"/>
      <c r="B57" s="52"/>
      <c r="C57" s="18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spans="1:17" x14ac:dyDescent="0.25">
      <c r="A58" s="52"/>
      <c r="B58" s="52"/>
      <c r="C58" s="18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spans="1:17" x14ac:dyDescent="0.25">
      <c r="A59" s="52"/>
      <c r="B59" s="52"/>
      <c r="C59" s="18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spans="1:17" x14ac:dyDescent="0.25">
      <c r="A60" s="52"/>
      <c r="B60" s="52"/>
      <c r="C60" s="18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04"/>
  <sheetViews>
    <sheetView workbookViewId="0">
      <selection activeCell="O1" sqref="O1:R1048576"/>
    </sheetView>
  </sheetViews>
  <sheetFormatPr defaultRowHeight="15" x14ac:dyDescent="0.25"/>
  <cols>
    <col min="1" max="14" width="9.140625" style="52"/>
  </cols>
  <sheetData>
    <row r="1" spans="1:18" x14ac:dyDescent="0.25">
      <c r="A1" s="52" t="s">
        <v>68</v>
      </c>
      <c r="B1" s="52" t="s">
        <v>69</v>
      </c>
      <c r="C1" s="52" t="s">
        <v>70</v>
      </c>
      <c r="D1" s="52" t="s">
        <v>71</v>
      </c>
      <c r="E1" s="52" t="s">
        <v>72</v>
      </c>
      <c r="F1" s="52" t="s">
        <v>73</v>
      </c>
      <c r="G1" s="52" t="s">
        <v>74</v>
      </c>
      <c r="H1" s="52" t="s">
        <v>75</v>
      </c>
      <c r="I1" s="52" t="s">
        <v>76</v>
      </c>
      <c r="J1" s="52" t="s">
        <v>77</v>
      </c>
      <c r="K1" s="52" t="s">
        <v>78</v>
      </c>
      <c r="L1" s="52" t="s">
        <v>79</v>
      </c>
      <c r="M1" s="52" t="s">
        <v>80</v>
      </c>
      <c r="N1" s="52" t="s">
        <v>81</v>
      </c>
    </row>
    <row r="2" spans="1:18" x14ac:dyDescent="0.25">
      <c r="A2" s="52">
        <v>65</v>
      </c>
      <c r="B2" s="52" t="s">
        <v>237</v>
      </c>
      <c r="C2" s="18">
        <v>44986.57199074074</v>
      </c>
      <c r="D2" s="52">
        <v>0</v>
      </c>
      <c r="E2" s="52">
        <v>4043</v>
      </c>
      <c r="F2" s="52">
        <v>1</v>
      </c>
      <c r="G2" s="52">
        <v>1</v>
      </c>
      <c r="H2" s="52">
        <v>1</v>
      </c>
      <c r="I2" s="52">
        <v>300.02999999999997</v>
      </c>
      <c r="K2" s="52">
        <v>4620.49</v>
      </c>
      <c r="L2" s="52">
        <v>899.44</v>
      </c>
      <c r="M2" s="52">
        <v>3.34</v>
      </c>
      <c r="O2" s="1" t="s">
        <v>87</v>
      </c>
      <c r="P2" s="1">
        <v>2</v>
      </c>
      <c r="Q2" s="1"/>
      <c r="R2" s="1" t="s">
        <v>113</v>
      </c>
    </row>
    <row r="3" spans="1:18" x14ac:dyDescent="0.25">
      <c r="A3" s="52">
        <v>65</v>
      </c>
      <c r="B3" s="52" t="s">
        <v>237</v>
      </c>
      <c r="C3" s="18">
        <v>44986.57199074074</v>
      </c>
      <c r="D3" s="52">
        <v>0</v>
      </c>
      <c r="E3" s="52">
        <v>4043</v>
      </c>
      <c r="F3" s="52">
        <v>1</v>
      </c>
      <c r="G3" s="52">
        <v>2</v>
      </c>
      <c r="H3" s="52">
        <v>2</v>
      </c>
      <c r="I3" s="52">
        <v>300.02999999999997</v>
      </c>
      <c r="K3" s="52">
        <v>4794.46</v>
      </c>
      <c r="L3" s="52">
        <v>944.89</v>
      </c>
      <c r="M3" s="52">
        <v>3.26</v>
      </c>
      <c r="O3" s="1"/>
      <c r="P3" s="1"/>
      <c r="Q3" s="1"/>
      <c r="R3" s="1"/>
    </row>
    <row r="4" spans="1:18" x14ac:dyDescent="0.25">
      <c r="A4" s="52">
        <v>65</v>
      </c>
      <c r="B4" s="52" t="s">
        <v>237</v>
      </c>
      <c r="C4" s="18">
        <v>44986.57199074074</v>
      </c>
      <c r="D4" s="52">
        <v>0</v>
      </c>
      <c r="E4" s="52">
        <v>4043</v>
      </c>
      <c r="F4" s="52">
        <v>1</v>
      </c>
      <c r="G4" s="52">
        <v>3</v>
      </c>
      <c r="H4" s="52">
        <v>3</v>
      </c>
      <c r="I4" s="52">
        <v>300.02999999999997</v>
      </c>
      <c r="K4" s="52">
        <v>6395.77</v>
      </c>
      <c r="L4" s="52">
        <v>1266.5899999999999</v>
      </c>
      <c r="M4" s="52">
        <v>2.82</v>
      </c>
      <c r="O4" s="1"/>
      <c r="P4" s="1">
        <v>5</v>
      </c>
      <c r="Q4" s="1"/>
      <c r="R4" s="1"/>
    </row>
    <row r="5" spans="1:18" x14ac:dyDescent="0.25">
      <c r="A5" s="52">
        <v>65</v>
      </c>
      <c r="B5" s="52" t="s">
        <v>237</v>
      </c>
      <c r="C5" s="18">
        <v>44986.57199074074</v>
      </c>
      <c r="D5" s="52">
        <v>0</v>
      </c>
      <c r="E5" s="52">
        <v>4043</v>
      </c>
      <c r="F5" s="52">
        <v>1</v>
      </c>
      <c r="G5" s="52">
        <v>4</v>
      </c>
      <c r="H5" s="52">
        <v>4</v>
      </c>
      <c r="I5" s="52">
        <v>300.02999999999997</v>
      </c>
      <c r="K5" s="52">
        <v>6630.35</v>
      </c>
      <c r="L5" s="52">
        <v>1310.5</v>
      </c>
      <c r="M5" s="52">
        <v>2.77</v>
      </c>
      <c r="O5" s="1"/>
      <c r="P5" s="1"/>
      <c r="Q5" s="1"/>
      <c r="R5" s="1"/>
    </row>
    <row r="6" spans="1:18" x14ac:dyDescent="0.25">
      <c r="A6" s="52">
        <v>65</v>
      </c>
      <c r="B6" s="52" t="s">
        <v>237</v>
      </c>
      <c r="C6" s="18">
        <v>44986.57199074074</v>
      </c>
      <c r="D6" s="52">
        <v>0</v>
      </c>
      <c r="E6" s="52">
        <v>4043</v>
      </c>
      <c r="F6" s="52">
        <v>1</v>
      </c>
      <c r="G6" s="52">
        <v>5</v>
      </c>
      <c r="H6" s="52">
        <v>5</v>
      </c>
      <c r="I6" s="52">
        <v>300.02999999999997</v>
      </c>
      <c r="K6" s="52">
        <v>10479.629999999999</v>
      </c>
      <c r="L6" s="52">
        <v>2044.99</v>
      </c>
      <c r="M6" s="52">
        <v>2.2000000000000002</v>
      </c>
      <c r="O6" s="1"/>
      <c r="P6" s="1">
        <v>10</v>
      </c>
      <c r="Q6" s="1"/>
      <c r="R6" s="1"/>
    </row>
    <row r="7" spans="1:18" x14ac:dyDescent="0.25">
      <c r="A7" s="52">
        <v>65</v>
      </c>
      <c r="B7" s="52" t="s">
        <v>237</v>
      </c>
      <c r="C7" s="18">
        <v>44986.575659722221</v>
      </c>
      <c r="D7" s="52">
        <v>0</v>
      </c>
      <c r="E7" s="52">
        <v>4043</v>
      </c>
      <c r="F7" s="52">
        <v>1</v>
      </c>
      <c r="G7" s="52">
        <v>1</v>
      </c>
      <c r="H7" s="52">
        <v>6</v>
      </c>
      <c r="I7" s="52">
        <v>300.04000000000002</v>
      </c>
      <c r="K7" s="52">
        <v>9115.73</v>
      </c>
      <c r="L7" s="52">
        <v>1799.47</v>
      </c>
      <c r="M7" s="52">
        <v>2.36</v>
      </c>
      <c r="O7" s="1"/>
      <c r="P7" s="1"/>
      <c r="Q7" s="1"/>
      <c r="R7" s="1"/>
    </row>
    <row r="8" spans="1:18" x14ac:dyDescent="0.25">
      <c r="A8" s="52">
        <v>65</v>
      </c>
      <c r="B8" s="52" t="s">
        <v>237</v>
      </c>
      <c r="C8" s="18">
        <v>44986.575659722221</v>
      </c>
      <c r="D8" s="52">
        <v>0</v>
      </c>
      <c r="E8" s="52">
        <v>4043</v>
      </c>
      <c r="F8" s="52">
        <v>1</v>
      </c>
      <c r="G8" s="52">
        <v>2</v>
      </c>
      <c r="H8" s="52">
        <v>7</v>
      </c>
      <c r="I8" s="52">
        <v>300.04000000000002</v>
      </c>
      <c r="K8" s="52">
        <v>17130.2</v>
      </c>
      <c r="L8" s="52">
        <v>3422.18</v>
      </c>
      <c r="M8" s="52">
        <v>1.71</v>
      </c>
      <c r="O8" s="1"/>
      <c r="P8" s="1">
        <v>30</v>
      </c>
      <c r="Q8" s="1"/>
      <c r="R8" s="1"/>
    </row>
    <row r="9" spans="1:18" x14ac:dyDescent="0.25">
      <c r="A9" s="52">
        <v>65</v>
      </c>
      <c r="B9" s="52" t="s">
        <v>237</v>
      </c>
      <c r="C9" s="18">
        <v>44986.575659722221</v>
      </c>
      <c r="D9" s="52">
        <v>0</v>
      </c>
      <c r="E9" s="52">
        <v>4043</v>
      </c>
      <c r="F9" s="52">
        <v>1</v>
      </c>
      <c r="G9" s="52">
        <v>3</v>
      </c>
      <c r="H9" s="52">
        <v>8</v>
      </c>
      <c r="I9" s="52">
        <v>300.04000000000002</v>
      </c>
      <c r="K9" s="52">
        <v>15753.43</v>
      </c>
      <c r="L9" s="52">
        <v>3149.61</v>
      </c>
      <c r="M9" s="52">
        <v>1.79</v>
      </c>
      <c r="O9" s="1"/>
      <c r="P9" s="1"/>
      <c r="Q9" s="1"/>
      <c r="R9" s="1"/>
    </row>
    <row r="10" spans="1:18" x14ac:dyDescent="0.25">
      <c r="A10" s="52">
        <v>65</v>
      </c>
      <c r="B10" s="52" t="s">
        <v>237</v>
      </c>
      <c r="C10" s="18">
        <v>44986.575659722221</v>
      </c>
      <c r="D10" s="52">
        <v>0</v>
      </c>
      <c r="E10" s="52">
        <v>4043</v>
      </c>
      <c r="F10" s="52">
        <v>1</v>
      </c>
      <c r="G10" s="52">
        <v>4</v>
      </c>
      <c r="H10" s="52">
        <v>9</v>
      </c>
      <c r="I10" s="52">
        <v>300.04000000000002</v>
      </c>
      <c r="K10" s="52">
        <v>19889.55</v>
      </c>
      <c r="L10" s="52">
        <v>3970.81</v>
      </c>
      <c r="M10" s="52">
        <v>1.59</v>
      </c>
      <c r="O10" s="1"/>
      <c r="P10" s="1">
        <v>60</v>
      </c>
      <c r="Q10" s="1"/>
      <c r="R10" s="1"/>
    </row>
    <row r="11" spans="1:18" x14ac:dyDescent="0.25">
      <c r="A11" s="52">
        <v>65</v>
      </c>
      <c r="B11" s="52" t="s">
        <v>237</v>
      </c>
      <c r="C11" s="18">
        <v>44986.575659722221</v>
      </c>
      <c r="D11" s="52">
        <v>0</v>
      </c>
      <c r="E11" s="52">
        <v>4043</v>
      </c>
      <c r="F11" s="52">
        <v>1</v>
      </c>
      <c r="G11" s="52">
        <v>5</v>
      </c>
      <c r="H11" s="52">
        <v>10</v>
      </c>
      <c r="I11" s="52">
        <v>300.04000000000002</v>
      </c>
      <c r="K11" s="52">
        <v>20928.330000000002</v>
      </c>
      <c r="L11" s="52">
        <v>4106.1400000000003</v>
      </c>
      <c r="M11" s="52">
        <v>1.55</v>
      </c>
      <c r="O11" s="1"/>
      <c r="P11" s="1"/>
      <c r="Q11" s="1"/>
      <c r="R11" s="1"/>
    </row>
    <row r="12" spans="1:18" x14ac:dyDescent="0.25">
      <c r="A12" s="52">
        <v>65</v>
      </c>
      <c r="B12" s="52" t="s">
        <v>237</v>
      </c>
      <c r="C12" s="18">
        <v>44986.579571759263</v>
      </c>
      <c r="D12" s="52">
        <v>0</v>
      </c>
      <c r="E12" s="52">
        <v>4043</v>
      </c>
      <c r="F12" s="52">
        <v>2</v>
      </c>
      <c r="G12" s="52">
        <v>1</v>
      </c>
      <c r="H12" s="52">
        <v>1</v>
      </c>
      <c r="I12" s="52">
        <v>300.04000000000002</v>
      </c>
      <c r="K12" s="52">
        <v>4116.67</v>
      </c>
      <c r="L12" s="52">
        <v>798.59</v>
      </c>
      <c r="M12" s="52">
        <v>3.54</v>
      </c>
      <c r="O12" s="1" t="s">
        <v>88</v>
      </c>
      <c r="P12" s="1">
        <v>2</v>
      </c>
      <c r="Q12" s="1"/>
      <c r="R12" s="1"/>
    </row>
    <row r="13" spans="1:18" x14ac:dyDescent="0.25">
      <c r="A13" s="52">
        <v>65</v>
      </c>
      <c r="B13" s="52" t="s">
        <v>237</v>
      </c>
      <c r="C13" s="18">
        <v>44986.579571759263</v>
      </c>
      <c r="D13" s="52">
        <v>0</v>
      </c>
      <c r="E13" s="52">
        <v>4043</v>
      </c>
      <c r="F13" s="52">
        <v>2</v>
      </c>
      <c r="G13" s="52">
        <v>2</v>
      </c>
      <c r="H13" s="52">
        <v>2</v>
      </c>
      <c r="I13" s="52">
        <v>300.04000000000002</v>
      </c>
      <c r="K13" s="52">
        <v>4277.34</v>
      </c>
      <c r="L13" s="52">
        <v>841.08</v>
      </c>
      <c r="M13" s="52">
        <v>3.46</v>
      </c>
      <c r="O13" s="1"/>
      <c r="P13" s="1"/>
      <c r="Q13" s="1"/>
      <c r="R13" s="1"/>
    </row>
    <row r="14" spans="1:18" x14ac:dyDescent="0.25">
      <c r="A14" s="52">
        <v>65</v>
      </c>
      <c r="B14" s="52" t="s">
        <v>237</v>
      </c>
      <c r="C14" s="18">
        <v>44986.579571759263</v>
      </c>
      <c r="D14" s="52">
        <v>0</v>
      </c>
      <c r="E14" s="52">
        <v>4043</v>
      </c>
      <c r="F14" s="52">
        <v>2</v>
      </c>
      <c r="G14" s="52">
        <v>3</v>
      </c>
      <c r="H14" s="52">
        <v>3</v>
      </c>
      <c r="I14" s="52">
        <v>300.04000000000002</v>
      </c>
      <c r="K14" s="52">
        <v>4503.8599999999997</v>
      </c>
      <c r="L14" s="52">
        <v>885.95</v>
      </c>
      <c r="M14" s="52">
        <v>3.37</v>
      </c>
      <c r="O14" s="1"/>
      <c r="P14" s="1">
        <v>5</v>
      </c>
      <c r="Q14" s="1"/>
      <c r="R14" s="1"/>
    </row>
    <row r="15" spans="1:18" x14ac:dyDescent="0.25">
      <c r="A15" s="52">
        <v>65</v>
      </c>
      <c r="B15" s="52" t="s">
        <v>237</v>
      </c>
      <c r="C15" s="18">
        <v>44986.579571759263</v>
      </c>
      <c r="D15" s="52">
        <v>0</v>
      </c>
      <c r="E15" s="52">
        <v>4043</v>
      </c>
      <c r="F15" s="52">
        <v>2</v>
      </c>
      <c r="G15" s="52">
        <v>4</v>
      </c>
      <c r="H15" s="52">
        <v>4</v>
      </c>
      <c r="I15" s="52">
        <v>300.04000000000002</v>
      </c>
      <c r="K15" s="52">
        <v>5584.37</v>
      </c>
      <c r="L15" s="52">
        <v>1100.7</v>
      </c>
      <c r="M15" s="52">
        <v>3.02</v>
      </c>
      <c r="O15" s="1"/>
      <c r="P15" s="1"/>
      <c r="Q15" s="1"/>
      <c r="R15" s="1"/>
    </row>
    <row r="16" spans="1:18" x14ac:dyDescent="0.25">
      <c r="A16" s="52">
        <v>65</v>
      </c>
      <c r="B16" s="52" t="s">
        <v>237</v>
      </c>
      <c r="C16" s="18">
        <v>44986.579571759263</v>
      </c>
      <c r="D16" s="52">
        <v>0</v>
      </c>
      <c r="E16" s="52">
        <v>4043</v>
      </c>
      <c r="F16" s="52">
        <v>2</v>
      </c>
      <c r="G16" s="52">
        <v>5</v>
      </c>
      <c r="H16" s="52">
        <v>5</v>
      </c>
      <c r="I16" s="52">
        <v>300.04000000000002</v>
      </c>
      <c r="K16" s="52">
        <v>6282.31</v>
      </c>
      <c r="L16" s="52">
        <v>1217.1400000000001</v>
      </c>
      <c r="M16" s="52">
        <v>2.85</v>
      </c>
      <c r="O16" s="1"/>
      <c r="P16" s="1">
        <v>10</v>
      </c>
      <c r="Q16" s="1"/>
      <c r="R16" s="1"/>
    </row>
    <row r="17" spans="1:18" x14ac:dyDescent="0.25">
      <c r="A17" s="52">
        <v>65</v>
      </c>
      <c r="B17" s="52" t="s">
        <v>237</v>
      </c>
      <c r="C17" s="18">
        <v>44986.583240740743</v>
      </c>
      <c r="D17" s="52">
        <v>0</v>
      </c>
      <c r="E17" s="52">
        <v>4043</v>
      </c>
      <c r="F17" s="52">
        <v>2</v>
      </c>
      <c r="G17" s="52">
        <v>1</v>
      </c>
      <c r="H17" s="52">
        <v>6</v>
      </c>
      <c r="I17" s="52">
        <v>300.02</v>
      </c>
      <c r="K17" s="52">
        <v>7123.81</v>
      </c>
      <c r="L17" s="52">
        <v>1400.84</v>
      </c>
      <c r="M17" s="52">
        <v>2.67</v>
      </c>
      <c r="O17" s="1"/>
      <c r="P17" s="1"/>
      <c r="Q17" s="1"/>
      <c r="R17" s="1"/>
    </row>
    <row r="18" spans="1:18" x14ac:dyDescent="0.25">
      <c r="A18" s="52">
        <v>65</v>
      </c>
      <c r="B18" s="52" t="s">
        <v>237</v>
      </c>
      <c r="C18" s="18">
        <v>44986.583240740743</v>
      </c>
      <c r="D18" s="52">
        <v>0</v>
      </c>
      <c r="E18" s="52">
        <v>4043</v>
      </c>
      <c r="F18" s="52">
        <v>2</v>
      </c>
      <c r="G18" s="52">
        <v>2</v>
      </c>
      <c r="H18" s="52">
        <v>7</v>
      </c>
      <c r="I18" s="52">
        <v>300.02</v>
      </c>
      <c r="K18" s="52">
        <v>11107.89</v>
      </c>
      <c r="L18" s="52">
        <v>2213.02</v>
      </c>
      <c r="M18" s="52">
        <v>2.13</v>
      </c>
      <c r="O18" s="1"/>
      <c r="P18" s="1">
        <v>30</v>
      </c>
      <c r="Q18" s="1"/>
      <c r="R18" s="1"/>
    </row>
    <row r="19" spans="1:18" x14ac:dyDescent="0.25">
      <c r="A19" s="52">
        <v>65</v>
      </c>
      <c r="B19" s="52" t="s">
        <v>237</v>
      </c>
      <c r="C19" s="18">
        <v>44986.583240740743</v>
      </c>
      <c r="D19" s="52">
        <v>0</v>
      </c>
      <c r="E19" s="52">
        <v>4043</v>
      </c>
      <c r="F19" s="52">
        <v>2</v>
      </c>
      <c r="G19" s="52">
        <v>3</v>
      </c>
      <c r="H19" s="52">
        <v>8</v>
      </c>
      <c r="I19" s="52">
        <v>300.02</v>
      </c>
      <c r="K19" s="52">
        <v>9996.2199999999993</v>
      </c>
      <c r="L19" s="52">
        <v>1991.34</v>
      </c>
      <c r="M19" s="52">
        <v>2.25</v>
      </c>
      <c r="O19" s="1"/>
      <c r="P19" s="1"/>
      <c r="Q19" s="1"/>
      <c r="R19" s="1"/>
    </row>
    <row r="20" spans="1:18" x14ac:dyDescent="0.25">
      <c r="A20" s="52">
        <v>65</v>
      </c>
      <c r="B20" s="52" t="s">
        <v>237</v>
      </c>
      <c r="C20" s="18">
        <v>44986.583240740743</v>
      </c>
      <c r="D20" s="52">
        <v>0</v>
      </c>
      <c r="E20" s="52">
        <v>4043</v>
      </c>
      <c r="F20" s="52">
        <v>2</v>
      </c>
      <c r="G20" s="52">
        <v>4</v>
      </c>
      <c r="H20" s="52">
        <v>9</v>
      </c>
      <c r="I20" s="52">
        <v>300.02</v>
      </c>
      <c r="K20" s="52">
        <v>15887.53</v>
      </c>
      <c r="L20" s="52">
        <v>3168.24</v>
      </c>
      <c r="M20" s="52">
        <v>1.78</v>
      </c>
      <c r="O20" s="1"/>
      <c r="P20" s="1">
        <v>60</v>
      </c>
      <c r="Q20" s="1"/>
      <c r="R20" s="1"/>
    </row>
    <row r="21" spans="1:18" x14ac:dyDescent="0.25">
      <c r="A21" s="52">
        <v>65</v>
      </c>
      <c r="B21" s="52" t="s">
        <v>237</v>
      </c>
      <c r="C21" s="18">
        <v>44986.583240740743</v>
      </c>
      <c r="D21" s="52">
        <v>0</v>
      </c>
      <c r="E21" s="52">
        <v>4043</v>
      </c>
      <c r="F21" s="52">
        <v>2</v>
      </c>
      <c r="G21" s="52">
        <v>5</v>
      </c>
      <c r="H21" s="52">
        <v>10</v>
      </c>
      <c r="I21" s="52">
        <v>300.02</v>
      </c>
      <c r="K21" s="52">
        <v>16272.43</v>
      </c>
      <c r="L21" s="52">
        <v>3188.1</v>
      </c>
      <c r="M21" s="52">
        <v>1.76</v>
      </c>
      <c r="O21" s="1"/>
      <c r="P21" s="1"/>
      <c r="Q21" s="1"/>
      <c r="R21" s="1"/>
    </row>
    <row r="22" spans="1:18" x14ac:dyDescent="0.25">
      <c r="A22" s="52">
        <v>65</v>
      </c>
      <c r="B22" s="52" t="s">
        <v>237</v>
      </c>
      <c r="C22" s="18">
        <v>44986.587245370371</v>
      </c>
      <c r="D22" s="52">
        <v>0</v>
      </c>
      <c r="E22" s="52">
        <v>4043</v>
      </c>
      <c r="F22" s="52">
        <v>3</v>
      </c>
      <c r="G22" s="52">
        <v>1</v>
      </c>
      <c r="H22" s="52">
        <v>1</v>
      </c>
      <c r="I22" s="52">
        <v>300.04000000000002</v>
      </c>
      <c r="K22" s="52">
        <v>2469.23</v>
      </c>
      <c r="L22" s="52">
        <v>468.78</v>
      </c>
      <c r="M22" s="52">
        <v>4.62</v>
      </c>
      <c r="O22" s="1" t="s">
        <v>89</v>
      </c>
      <c r="P22" s="1">
        <v>2</v>
      </c>
      <c r="Q22" s="1"/>
      <c r="R22" s="1"/>
    </row>
    <row r="23" spans="1:18" x14ac:dyDescent="0.25">
      <c r="A23" s="52">
        <v>65</v>
      </c>
      <c r="B23" s="52" t="s">
        <v>237</v>
      </c>
      <c r="C23" s="18">
        <v>44986.587245370371</v>
      </c>
      <c r="D23" s="52">
        <v>0</v>
      </c>
      <c r="E23" s="52">
        <v>4043</v>
      </c>
      <c r="F23" s="52">
        <v>3</v>
      </c>
      <c r="G23" s="52">
        <v>2</v>
      </c>
      <c r="H23" s="52">
        <v>2</v>
      </c>
      <c r="I23" s="52">
        <v>300.04000000000002</v>
      </c>
      <c r="K23" s="52">
        <v>3073.85</v>
      </c>
      <c r="L23" s="52">
        <v>599.46</v>
      </c>
      <c r="M23" s="52">
        <v>4.09</v>
      </c>
      <c r="O23" s="1"/>
      <c r="P23" s="1"/>
      <c r="Q23" s="1"/>
      <c r="R23" s="1"/>
    </row>
    <row r="24" spans="1:18" x14ac:dyDescent="0.25">
      <c r="A24" s="52">
        <v>65</v>
      </c>
      <c r="B24" s="52" t="s">
        <v>237</v>
      </c>
      <c r="C24" s="18">
        <v>44986.587245370371</v>
      </c>
      <c r="D24" s="52">
        <v>0</v>
      </c>
      <c r="E24" s="52">
        <v>4043</v>
      </c>
      <c r="F24" s="52">
        <v>3</v>
      </c>
      <c r="G24" s="52">
        <v>3</v>
      </c>
      <c r="H24" s="52">
        <v>3</v>
      </c>
      <c r="I24" s="52">
        <v>300.04000000000002</v>
      </c>
      <c r="K24" s="52">
        <v>3633.22</v>
      </c>
      <c r="L24" s="52">
        <v>710.82</v>
      </c>
      <c r="M24" s="52">
        <v>3.76</v>
      </c>
      <c r="O24" s="1"/>
      <c r="P24" s="1">
        <v>5</v>
      </c>
      <c r="Q24" s="1"/>
      <c r="R24" s="1"/>
    </row>
    <row r="25" spans="1:18" x14ac:dyDescent="0.25">
      <c r="A25" s="52">
        <v>65</v>
      </c>
      <c r="B25" s="52" t="s">
        <v>237</v>
      </c>
      <c r="C25" s="18">
        <v>44986.587245370371</v>
      </c>
      <c r="D25" s="52">
        <v>0</v>
      </c>
      <c r="E25" s="52">
        <v>4043</v>
      </c>
      <c r="F25" s="52">
        <v>3</v>
      </c>
      <c r="G25" s="52">
        <v>4</v>
      </c>
      <c r="H25" s="52">
        <v>4</v>
      </c>
      <c r="I25" s="52">
        <v>300.04000000000002</v>
      </c>
      <c r="K25" s="52">
        <v>3535.21</v>
      </c>
      <c r="L25" s="52">
        <v>689.65</v>
      </c>
      <c r="M25" s="52">
        <v>3.81</v>
      </c>
      <c r="O25" s="1"/>
      <c r="P25" s="1"/>
      <c r="Q25" s="1"/>
      <c r="R25" s="1"/>
    </row>
    <row r="26" spans="1:18" x14ac:dyDescent="0.25">
      <c r="A26" s="52">
        <v>65</v>
      </c>
      <c r="B26" s="52" t="s">
        <v>237</v>
      </c>
      <c r="C26" s="18">
        <v>44986.587245370371</v>
      </c>
      <c r="D26" s="52">
        <v>0</v>
      </c>
      <c r="E26" s="52">
        <v>4043</v>
      </c>
      <c r="F26" s="52">
        <v>3</v>
      </c>
      <c r="G26" s="52">
        <v>5</v>
      </c>
      <c r="H26" s="52">
        <v>5</v>
      </c>
      <c r="I26" s="52">
        <v>300.04000000000002</v>
      </c>
      <c r="K26" s="52">
        <v>3710.68</v>
      </c>
      <c r="L26" s="52">
        <v>709.97</v>
      </c>
      <c r="M26" s="52">
        <v>3.73</v>
      </c>
      <c r="O26" s="1"/>
      <c r="P26" s="1">
        <v>10</v>
      </c>
      <c r="Q26" s="1"/>
      <c r="R26" s="1"/>
    </row>
    <row r="27" spans="1:18" x14ac:dyDescent="0.25">
      <c r="A27" s="52">
        <v>65</v>
      </c>
      <c r="B27" s="52" t="s">
        <v>237</v>
      </c>
      <c r="C27" s="18">
        <v>44986.590914351851</v>
      </c>
      <c r="D27" s="52">
        <v>0</v>
      </c>
      <c r="E27" s="52">
        <v>4043</v>
      </c>
      <c r="F27" s="52">
        <v>3</v>
      </c>
      <c r="G27" s="52">
        <v>1</v>
      </c>
      <c r="H27" s="52">
        <v>6</v>
      </c>
      <c r="I27" s="52">
        <v>300.02999999999997</v>
      </c>
      <c r="K27" s="52">
        <v>3636.71</v>
      </c>
      <c r="L27" s="52">
        <v>702.62</v>
      </c>
      <c r="M27" s="52">
        <v>3.78</v>
      </c>
      <c r="O27" s="1"/>
      <c r="P27" s="1"/>
      <c r="Q27" s="1"/>
      <c r="R27" s="1"/>
    </row>
    <row r="28" spans="1:18" x14ac:dyDescent="0.25">
      <c r="A28" s="52">
        <v>65</v>
      </c>
      <c r="B28" s="52" t="s">
        <v>237</v>
      </c>
      <c r="C28" s="18">
        <v>44986.590914351851</v>
      </c>
      <c r="D28" s="52">
        <v>0</v>
      </c>
      <c r="E28" s="52">
        <v>4043</v>
      </c>
      <c r="F28" s="52">
        <v>3</v>
      </c>
      <c r="G28" s="52">
        <v>2</v>
      </c>
      <c r="H28" s="52">
        <v>7</v>
      </c>
      <c r="I28" s="52">
        <v>300.02999999999997</v>
      </c>
      <c r="K28" s="52">
        <v>6299.97</v>
      </c>
      <c r="L28" s="52">
        <v>1247.48</v>
      </c>
      <c r="M28" s="52">
        <v>2.84</v>
      </c>
      <c r="O28" s="1"/>
      <c r="P28" s="1">
        <v>30</v>
      </c>
      <c r="Q28" s="1"/>
      <c r="R28" s="1"/>
    </row>
    <row r="29" spans="1:18" x14ac:dyDescent="0.25">
      <c r="A29" s="52">
        <v>65</v>
      </c>
      <c r="B29" s="52" t="s">
        <v>237</v>
      </c>
      <c r="C29" s="18">
        <v>44986.590914351851</v>
      </c>
      <c r="D29" s="52">
        <v>0</v>
      </c>
      <c r="E29" s="52">
        <v>4043</v>
      </c>
      <c r="F29" s="52">
        <v>3</v>
      </c>
      <c r="G29" s="52">
        <v>3</v>
      </c>
      <c r="H29" s="52">
        <v>8</v>
      </c>
      <c r="I29" s="52">
        <v>300.02999999999997</v>
      </c>
      <c r="K29" s="52">
        <v>5592.18</v>
      </c>
      <c r="L29" s="52">
        <v>1105.1400000000001</v>
      </c>
      <c r="M29" s="52">
        <v>3.02</v>
      </c>
      <c r="O29" s="1"/>
      <c r="P29" s="1"/>
      <c r="Q29" s="1"/>
      <c r="R29" s="1"/>
    </row>
    <row r="30" spans="1:18" x14ac:dyDescent="0.25">
      <c r="A30" s="52">
        <v>65</v>
      </c>
      <c r="B30" s="52" t="s">
        <v>237</v>
      </c>
      <c r="C30" s="18">
        <v>44986.590914351851</v>
      </c>
      <c r="D30" s="52">
        <v>0</v>
      </c>
      <c r="E30" s="52">
        <v>4043</v>
      </c>
      <c r="F30" s="52">
        <v>3</v>
      </c>
      <c r="G30" s="52">
        <v>4</v>
      </c>
      <c r="H30" s="52">
        <v>9</v>
      </c>
      <c r="I30" s="52">
        <v>300.02999999999997</v>
      </c>
      <c r="K30" s="52">
        <v>8778.6200000000008</v>
      </c>
      <c r="L30" s="52">
        <v>1741.87</v>
      </c>
      <c r="M30" s="52">
        <v>2.4</v>
      </c>
      <c r="O30" s="1"/>
      <c r="P30" s="1">
        <v>60</v>
      </c>
      <c r="Q30" s="1"/>
      <c r="R30" s="1"/>
    </row>
    <row r="31" spans="1:18" x14ac:dyDescent="0.25">
      <c r="A31" s="52">
        <v>65</v>
      </c>
      <c r="B31" s="52" t="s">
        <v>237</v>
      </c>
      <c r="C31" s="18">
        <v>44986.590914351851</v>
      </c>
      <c r="D31" s="52">
        <v>0</v>
      </c>
      <c r="E31" s="52">
        <v>4043</v>
      </c>
      <c r="F31" s="52">
        <v>3</v>
      </c>
      <c r="G31" s="52">
        <v>5</v>
      </c>
      <c r="H31" s="52">
        <v>10</v>
      </c>
      <c r="I31" s="52">
        <v>300.02999999999997</v>
      </c>
      <c r="K31" s="52">
        <v>7970.72</v>
      </c>
      <c r="L31" s="52">
        <v>1550.45</v>
      </c>
      <c r="M31" s="52">
        <v>2.52</v>
      </c>
      <c r="O31" s="1"/>
      <c r="P31" s="1"/>
      <c r="Q31" s="1"/>
      <c r="R31" s="1"/>
    </row>
    <row r="32" spans="1:18" x14ac:dyDescent="0.25">
      <c r="A32" s="52">
        <v>65</v>
      </c>
      <c r="B32" s="52" t="s">
        <v>237</v>
      </c>
      <c r="C32" s="18">
        <v>44986.594918981478</v>
      </c>
      <c r="D32" s="52">
        <v>0</v>
      </c>
      <c r="E32" s="52">
        <v>4043</v>
      </c>
      <c r="F32" s="52">
        <v>4</v>
      </c>
      <c r="G32" s="52">
        <v>1</v>
      </c>
      <c r="H32" s="52">
        <v>1</v>
      </c>
      <c r="I32" s="52">
        <v>300.04000000000002</v>
      </c>
      <c r="K32" s="52">
        <v>2390.44</v>
      </c>
      <c r="L32" s="52">
        <v>453.05</v>
      </c>
      <c r="M32" s="52">
        <v>4.7</v>
      </c>
      <c r="O32" s="1" t="s">
        <v>90</v>
      </c>
      <c r="P32" s="1">
        <v>2</v>
      </c>
      <c r="Q32" s="1"/>
      <c r="R32" s="1"/>
    </row>
    <row r="33" spans="1:18" x14ac:dyDescent="0.25">
      <c r="A33" s="52">
        <v>65</v>
      </c>
      <c r="B33" s="52" t="s">
        <v>237</v>
      </c>
      <c r="C33" s="18">
        <v>44986.594918981478</v>
      </c>
      <c r="D33" s="52">
        <v>0</v>
      </c>
      <c r="E33" s="52">
        <v>4043</v>
      </c>
      <c r="F33" s="52">
        <v>4</v>
      </c>
      <c r="G33" s="52">
        <v>2</v>
      </c>
      <c r="H33" s="52">
        <v>2</v>
      </c>
      <c r="I33" s="52">
        <v>300.04000000000002</v>
      </c>
      <c r="K33" s="52">
        <v>1926.33</v>
      </c>
      <c r="L33" s="52">
        <v>369.05</v>
      </c>
      <c r="M33" s="52">
        <v>5.22</v>
      </c>
      <c r="O33" s="1"/>
      <c r="P33" s="1"/>
      <c r="Q33" s="1"/>
      <c r="R33" s="1"/>
    </row>
    <row r="34" spans="1:18" x14ac:dyDescent="0.25">
      <c r="A34" s="52">
        <v>65</v>
      </c>
      <c r="B34" s="52" t="s">
        <v>237</v>
      </c>
      <c r="C34" s="18">
        <v>44986.594918981478</v>
      </c>
      <c r="D34" s="52">
        <v>0</v>
      </c>
      <c r="E34" s="52">
        <v>4043</v>
      </c>
      <c r="F34" s="52">
        <v>4</v>
      </c>
      <c r="G34" s="52">
        <v>3</v>
      </c>
      <c r="H34" s="52">
        <v>3</v>
      </c>
      <c r="I34" s="52">
        <v>300.04000000000002</v>
      </c>
      <c r="K34" s="52">
        <v>1987.52</v>
      </c>
      <c r="L34" s="52">
        <v>379.69</v>
      </c>
      <c r="M34" s="52">
        <v>5.15</v>
      </c>
      <c r="O34" s="1"/>
      <c r="P34" s="1">
        <v>5</v>
      </c>
      <c r="Q34" s="1"/>
      <c r="R34" s="1"/>
    </row>
    <row r="35" spans="1:18" x14ac:dyDescent="0.25">
      <c r="A35" s="52">
        <v>65</v>
      </c>
      <c r="B35" s="52" t="s">
        <v>237</v>
      </c>
      <c r="C35" s="18">
        <v>44986.594918981478</v>
      </c>
      <c r="D35" s="52">
        <v>0</v>
      </c>
      <c r="E35" s="52">
        <v>4043</v>
      </c>
      <c r="F35" s="52">
        <v>4</v>
      </c>
      <c r="G35" s="52">
        <v>4</v>
      </c>
      <c r="H35" s="52">
        <v>4</v>
      </c>
      <c r="I35" s="52">
        <v>300.04000000000002</v>
      </c>
      <c r="K35" s="52">
        <v>1428.03</v>
      </c>
      <c r="L35" s="52">
        <v>266.91000000000003</v>
      </c>
      <c r="M35" s="52">
        <v>6.13</v>
      </c>
      <c r="O35" s="1"/>
      <c r="P35" s="1"/>
      <c r="Q35" s="1"/>
      <c r="R35" s="1"/>
    </row>
    <row r="36" spans="1:18" x14ac:dyDescent="0.25">
      <c r="A36" s="52">
        <v>65</v>
      </c>
      <c r="B36" s="52" t="s">
        <v>237</v>
      </c>
      <c r="C36" s="18">
        <v>44986.594918981478</v>
      </c>
      <c r="D36" s="52">
        <v>0</v>
      </c>
      <c r="E36" s="52">
        <v>4043</v>
      </c>
      <c r="F36" s="52">
        <v>4</v>
      </c>
      <c r="G36" s="52">
        <v>5</v>
      </c>
      <c r="H36" s="52">
        <v>5</v>
      </c>
      <c r="I36" s="52">
        <v>300.04000000000002</v>
      </c>
      <c r="K36" s="52">
        <v>3465.4</v>
      </c>
      <c r="L36" s="52">
        <v>661.65</v>
      </c>
      <c r="M36" s="52">
        <v>3.86</v>
      </c>
      <c r="O36" s="1"/>
      <c r="P36" s="1">
        <v>10</v>
      </c>
      <c r="Q36" s="1"/>
      <c r="R36" s="1"/>
    </row>
    <row r="37" spans="1:18" x14ac:dyDescent="0.25">
      <c r="A37" s="52">
        <v>65</v>
      </c>
      <c r="B37" s="52" t="s">
        <v>237</v>
      </c>
      <c r="C37" s="18">
        <v>44986.598587962966</v>
      </c>
      <c r="D37" s="52">
        <v>0</v>
      </c>
      <c r="E37" s="52">
        <v>4043</v>
      </c>
      <c r="F37" s="52">
        <v>4</v>
      </c>
      <c r="G37" s="52">
        <v>1</v>
      </c>
      <c r="H37" s="52">
        <v>6</v>
      </c>
      <c r="I37" s="52">
        <v>300.02</v>
      </c>
      <c r="K37" s="52">
        <v>2415.56</v>
      </c>
      <c r="L37" s="52">
        <v>458.12</v>
      </c>
      <c r="M37" s="52">
        <v>4.68</v>
      </c>
      <c r="O37" s="1"/>
      <c r="P37" s="1"/>
      <c r="Q37" s="1"/>
      <c r="R37" s="1"/>
    </row>
    <row r="38" spans="1:18" x14ac:dyDescent="0.25">
      <c r="A38" s="52">
        <v>65</v>
      </c>
      <c r="B38" s="52" t="s">
        <v>237</v>
      </c>
      <c r="C38" s="18">
        <v>44986.598587962966</v>
      </c>
      <c r="D38" s="52">
        <v>0</v>
      </c>
      <c r="E38" s="52">
        <v>4043</v>
      </c>
      <c r="F38" s="52">
        <v>4</v>
      </c>
      <c r="G38" s="52">
        <v>2</v>
      </c>
      <c r="H38" s="52">
        <v>7</v>
      </c>
      <c r="I38" s="52">
        <v>300.02</v>
      </c>
      <c r="K38" s="52">
        <v>2896.06</v>
      </c>
      <c r="L38" s="52">
        <v>563.86</v>
      </c>
      <c r="M38" s="52">
        <v>4.22</v>
      </c>
      <c r="O38" s="1"/>
      <c r="P38" s="1">
        <v>30</v>
      </c>
      <c r="Q38" s="1"/>
      <c r="R38" s="1"/>
    </row>
    <row r="39" spans="1:18" x14ac:dyDescent="0.25">
      <c r="A39" s="52">
        <v>65</v>
      </c>
      <c r="B39" s="52" t="s">
        <v>237</v>
      </c>
      <c r="C39" s="18">
        <v>44986.598587962966</v>
      </c>
      <c r="D39" s="52">
        <v>0</v>
      </c>
      <c r="E39" s="52">
        <v>4043</v>
      </c>
      <c r="F39" s="52">
        <v>4</v>
      </c>
      <c r="G39" s="52">
        <v>3</v>
      </c>
      <c r="H39" s="52">
        <v>8</v>
      </c>
      <c r="I39" s="52">
        <v>300.02</v>
      </c>
      <c r="K39" s="52">
        <v>3731.46</v>
      </c>
      <c r="L39" s="52">
        <v>730.73</v>
      </c>
      <c r="M39" s="52">
        <v>3.71</v>
      </c>
      <c r="O39" s="1"/>
      <c r="P39" s="1"/>
      <c r="Q39" s="1"/>
      <c r="R39" s="1"/>
    </row>
    <row r="40" spans="1:18" x14ac:dyDescent="0.25">
      <c r="A40" s="52">
        <v>65</v>
      </c>
      <c r="B40" s="52" t="s">
        <v>237</v>
      </c>
      <c r="C40" s="18">
        <v>44986.598587962966</v>
      </c>
      <c r="D40" s="52">
        <v>0</v>
      </c>
      <c r="E40" s="52">
        <v>4043</v>
      </c>
      <c r="F40" s="52">
        <v>4</v>
      </c>
      <c r="G40" s="52">
        <v>4</v>
      </c>
      <c r="H40" s="52">
        <v>9</v>
      </c>
      <c r="I40" s="52">
        <v>300.02</v>
      </c>
      <c r="K40" s="52">
        <v>4209.46</v>
      </c>
      <c r="L40" s="52">
        <v>825.09</v>
      </c>
      <c r="M40" s="52">
        <v>3.49</v>
      </c>
      <c r="O40" s="1"/>
      <c r="P40" s="1">
        <v>60</v>
      </c>
      <c r="Q40" s="1"/>
      <c r="R40" s="1"/>
    </row>
    <row r="41" spans="1:18" x14ac:dyDescent="0.25">
      <c r="A41" s="52">
        <v>65</v>
      </c>
      <c r="B41" s="52" t="s">
        <v>237</v>
      </c>
      <c r="C41" s="18">
        <v>44986.598587962966</v>
      </c>
      <c r="D41" s="52">
        <v>0</v>
      </c>
      <c r="E41" s="52">
        <v>4043</v>
      </c>
      <c r="F41" s="52">
        <v>4</v>
      </c>
      <c r="G41" s="52">
        <v>5</v>
      </c>
      <c r="H41" s="52">
        <v>10</v>
      </c>
      <c r="I41" s="52">
        <v>300.02</v>
      </c>
      <c r="K41" s="52">
        <v>4596.41</v>
      </c>
      <c r="L41" s="52">
        <v>884.85</v>
      </c>
      <c r="M41" s="52">
        <v>3.34</v>
      </c>
      <c r="O41" s="1"/>
      <c r="P41" s="1"/>
      <c r="Q41" s="1"/>
      <c r="R41" s="1"/>
    </row>
    <row r="42" spans="1:18" x14ac:dyDescent="0.25">
      <c r="A42" s="52">
        <v>65</v>
      </c>
      <c r="B42" s="52" t="s">
        <v>237</v>
      </c>
      <c r="C42" s="18">
        <v>44986.60260416667</v>
      </c>
      <c r="D42" s="52">
        <v>0</v>
      </c>
      <c r="E42" s="52">
        <v>4043</v>
      </c>
      <c r="F42" s="52">
        <v>5</v>
      </c>
      <c r="G42" s="52">
        <v>1</v>
      </c>
      <c r="H42" s="52">
        <v>1</v>
      </c>
      <c r="I42" s="52">
        <v>300.04000000000002</v>
      </c>
      <c r="K42" s="52">
        <v>48996.76</v>
      </c>
      <c r="L42" s="52">
        <v>9790.58</v>
      </c>
      <c r="M42" s="52">
        <v>1.01</v>
      </c>
      <c r="P42" t="s">
        <v>114</v>
      </c>
      <c r="Q42" s="1"/>
      <c r="R42" s="1"/>
    </row>
    <row r="43" spans="1:18" x14ac:dyDescent="0.25">
      <c r="A43" s="52">
        <v>65</v>
      </c>
      <c r="B43" s="52" t="s">
        <v>237</v>
      </c>
      <c r="C43" s="18">
        <v>44986.60260416667</v>
      </c>
      <c r="D43" s="52">
        <v>0</v>
      </c>
      <c r="E43" s="52">
        <v>4043</v>
      </c>
      <c r="F43" s="52">
        <v>5</v>
      </c>
      <c r="G43" s="52">
        <v>2</v>
      </c>
      <c r="H43" s="52">
        <v>2</v>
      </c>
      <c r="I43" s="52">
        <v>300.04000000000002</v>
      </c>
      <c r="K43" s="52">
        <v>50534.43</v>
      </c>
      <c r="L43" s="52">
        <v>10136.280000000001</v>
      </c>
      <c r="M43" s="52">
        <v>1</v>
      </c>
      <c r="Q43" s="1"/>
      <c r="R43" s="1"/>
    </row>
    <row r="44" spans="1:18" x14ac:dyDescent="0.25">
      <c r="A44" s="52">
        <v>65</v>
      </c>
      <c r="B44" s="52" t="s">
        <v>237</v>
      </c>
      <c r="C44" s="18">
        <v>44986.60260416667</v>
      </c>
      <c r="D44" s="52">
        <v>0</v>
      </c>
      <c r="E44" s="52">
        <v>4043</v>
      </c>
      <c r="F44" s="52">
        <v>5</v>
      </c>
      <c r="G44" s="52">
        <v>3</v>
      </c>
      <c r="H44" s="52">
        <v>3</v>
      </c>
      <c r="I44" s="52">
        <v>300.04000000000002</v>
      </c>
      <c r="K44" s="52">
        <v>42580.75</v>
      </c>
      <c r="L44" s="52">
        <v>8552.3799999999992</v>
      </c>
      <c r="M44" s="52">
        <v>1.08</v>
      </c>
      <c r="P44" t="s">
        <v>115</v>
      </c>
      <c r="Q44" s="1"/>
      <c r="R44" s="1"/>
    </row>
    <row r="45" spans="1:18" x14ac:dyDescent="0.25">
      <c r="A45" s="52">
        <v>65</v>
      </c>
      <c r="B45" s="52" t="s">
        <v>237</v>
      </c>
      <c r="C45" s="18">
        <v>44986.60260416667</v>
      </c>
      <c r="D45" s="52">
        <v>0</v>
      </c>
      <c r="E45" s="52">
        <v>4043</v>
      </c>
      <c r="F45" s="52">
        <v>5</v>
      </c>
      <c r="G45" s="52">
        <v>4</v>
      </c>
      <c r="H45" s="52">
        <v>4</v>
      </c>
      <c r="I45" s="52">
        <v>300.04000000000002</v>
      </c>
      <c r="K45" s="52">
        <v>42192.69</v>
      </c>
      <c r="L45" s="52">
        <v>8449.7099999999991</v>
      </c>
      <c r="M45" s="52">
        <v>1.0900000000000001</v>
      </c>
      <c r="Q45" s="1"/>
      <c r="R45" s="1"/>
    </row>
    <row r="46" spans="1:18" x14ac:dyDescent="0.25">
      <c r="A46" s="52">
        <v>65</v>
      </c>
      <c r="B46" s="52" t="s">
        <v>237</v>
      </c>
      <c r="C46" s="18">
        <v>44986.60260416667</v>
      </c>
      <c r="D46" s="52">
        <v>0</v>
      </c>
      <c r="E46" s="52">
        <v>4043</v>
      </c>
      <c r="F46" s="52">
        <v>5</v>
      </c>
      <c r="G46" s="52">
        <v>5</v>
      </c>
      <c r="H46" s="52">
        <v>5</v>
      </c>
      <c r="I46" s="52">
        <v>300.04000000000002</v>
      </c>
      <c r="K46" s="52">
        <v>54177.15</v>
      </c>
      <c r="L46" s="52">
        <v>10670.74</v>
      </c>
      <c r="M46" s="52">
        <v>0.96</v>
      </c>
      <c r="P46" t="s">
        <v>116</v>
      </c>
      <c r="Q46" s="1"/>
      <c r="R46" s="1"/>
    </row>
    <row r="47" spans="1:18" x14ac:dyDescent="0.25">
      <c r="A47" s="52">
        <v>65</v>
      </c>
      <c r="B47" s="52" t="s">
        <v>237</v>
      </c>
      <c r="C47" s="18">
        <v>44986.606273148151</v>
      </c>
      <c r="D47" s="52">
        <v>0</v>
      </c>
      <c r="E47" s="52">
        <v>4043</v>
      </c>
      <c r="F47" s="52">
        <v>5</v>
      </c>
      <c r="G47" s="52">
        <v>1</v>
      </c>
      <c r="H47" s="52">
        <v>6</v>
      </c>
      <c r="I47" s="52">
        <v>300.02999999999997</v>
      </c>
      <c r="K47" s="52">
        <v>55967.41</v>
      </c>
      <c r="L47" s="52">
        <v>11188.79</v>
      </c>
      <c r="M47" s="52">
        <v>0.95</v>
      </c>
      <c r="Q47" s="1"/>
      <c r="R47" s="1"/>
    </row>
    <row r="48" spans="1:18" x14ac:dyDescent="0.25">
      <c r="A48" s="52">
        <v>65</v>
      </c>
      <c r="B48" s="52" t="s">
        <v>237</v>
      </c>
      <c r="C48" s="18">
        <v>44986.606273148151</v>
      </c>
      <c r="D48" s="52">
        <v>0</v>
      </c>
      <c r="E48" s="52">
        <v>4043</v>
      </c>
      <c r="F48" s="52">
        <v>5</v>
      </c>
      <c r="G48" s="52">
        <v>2</v>
      </c>
      <c r="H48" s="52">
        <v>7</v>
      </c>
      <c r="I48" s="52">
        <v>300.02999999999997</v>
      </c>
      <c r="K48" s="52">
        <v>49236.69</v>
      </c>
      <c r="L48" s="52">
        <v>9876.33</v>
      </c>
      <c r="M48" s="52">
        <v>1.01</v>
      </c>
      <c r="P48" t="s">
        <v>117</v>
      </c>
      <c r="Q48" s="1"/>
      <c r="R48" s="1"/>
    </row>
    <row r="49" spans="1:18" x14ac:dyDescent="0.25">
      <c r="A49" s="52">
        <v>65</v>
      </c>
      <c r="B49" s="52" t="s">
        <v>237</v>
      </c>
      <c r="C49" s="18">
        <v>44986.606273148151</v>
      </c>
      <c r="D49" s="52">
        <v>0</v>
      </c>
      <c r="E49" s="52">
        <v>4043</v>
      </c>
      <c r="F49" s="52">
        <v>5</v>
      </c>
      <c r="G49" s="52">
        <v>3</v>
      </c>
      <c r="H49" s="52">
        <v>8</v>
      </c>
      <c r="I49" s="52">
        <v>300.02999999999997</v>
      </c>
      <c r="K49" s="52">
        <v>50617.84</v>
      </c>
      <c r="L49" s="52">
        <v>10172.09</v>
      </c>
      <c r="M49" s="52">
        <v>0.99</v>
      </c>
      <c r="Q49" s="1"/>
      <c r="R49" s="1"/>
    </row>
    <row r="50" spans="1:18" x14ac:dyDescent="0.25">
      <c r="A50" s="52">
        <v>65</v>
      </c>
      <c r="B50" s="52" t="s">
        <v>237</v>
      </c>
      <c r="C50" s="18">
        <v>44986.606273148151</v>
      </c>
      <c r="D50" s="52">
        <v>0</v>
      </c>
      <c r="E50" s="52">
        <v>4043</v>
      </c>
      <c r="F50" s="52">
        <v>5</v>
      </c>
      <c r="G50" s="52">
        <v>4</v>
      </c>
      <c r="H50" s="52">
        <v>9</v>
      </c>
      <c r="I50" s="52">
        <v>300.02999999999997</v>
      </c>
      <c r="K50" s="52">
        <v>88.38</v>
      </c>
      <c r="L50" s="52">
        <v>0</v>
      </c>
      <c r="M50" s="52">
        <v>0</v>
      </c>
      <c r="N50" s="52" t="s">
        <v>83</v>
      </c>
      <c r="Q50" s="1"/>
      <c r="R50" s="1"/>
    </row>
    <row r="51" spans="1:18" x14ac:dyDescent="0.25">
      <c r="A51" s="52">
        <v>65</v>
      </c>
      <c r="B51" s="52" t="s">
        <v>237</v>
      </c>
      <c r="C51" s="18">
        <v>44986.606273148151</v>
      </c>
      <c r="D51" s="52">
        <v>0</v>
      </c>
      <c r="E51" s="52">
        <v>4043</v>
      </c>
      <c r="F51" s="52">
        <v>5</v>
      </c>
      <c r="G51" s="52">
        <v>5</v>
      </c>
      <c r="H51" s="52">
        <v>10</v>
      </c>
      <c r="I51" s="52">
        <v>300.02999999999997</v>
      </c>
      <c r="K51" s="52">
        <v>94.05</v>
      </c>
      <c r="L51" s="52">
        <v>0</v>
      </c>
      <c r="M51" s="52">
        <v>0</v>
      </c>
      <c r="N51" s="52" t="s">
        <v>83</v>
      </c>
      <c r="Q51" s="1"/>
      <c r="R51" s="1"/>
    </row>
    <row r="52" spans="1:18" x14ac:dyDescent="0.25">
      <c r="Q52" s="1"/>
      <c r="R52" s="1"/>
    </row>
    <row r="53" spans="1:18" x14ac:dyDescent="0.25">
      <c r="O53" s="1"/>
      <c r="P53" s="1"/>
      <c r="Q53" s="1"/>
      <c r="R53" s="1"/>
    </row>
    <row r="54" spans="1:18" x14ac:dyDescent="0.25">
      <c r="P54" s="1"/>
      <c r="Q54" s="1"/>
      <c r="R54" s="1"/>
    </row>
    <row r="55" spans="1:18" x14ac:dyDescent="0.25">
      <c r="P55" s="1"/>
      <c r="Q55" s="1"/>
      <c r="R55" s="1"/>
    </row>
    <row r="56" spans="1:18" x14ac:dyDescent="0.25">
      <c r="P56" s="1"/>
      <c r="Q56" s="1"/>
      <c r="R56" s="1"/>
    </row>
    <row r="57" spans="1:18" x14ac:dyDescent="0.25">
      <c r="P57" s="1"/>
      <c r="Q57" s="1"/>
      <c r="R57" s="1"/>
    </row>
    <row r="58" spans="1:18" x14ac:dyDescent="0.25">
      <c r="P58" s="1"/>
      <c r="Q58" s="1"/>
      <c r="R58" s="1"/>
    </row>
    <row r="59" spans="1:18" x14ac:dyDescent="0.25">
      <c r="P59" s="1"/>
      <c r="Q59" s="1"/>
      <c r="R59" s="1"/>
    </row>
    <row r="60" spans="1:18" x14ac:dyDescent="0.25">
      <c r="P60" s="1"/>
      <c r="Q60" s="1"/>
      <c r="R60" s="1"/>
    </row>
    <row r="61" spans="1:18" x14ac:dyDescent="0.25">
      <c r="O61" s="1"/>
      <c r="P61" s="1"/>
      <c r="Q61" s="1"/>
      <c r="R61" s="1"/>
    </row>
    <row r="62" spans="1:18" x14ac:dyDescent="0.25">
      <c r="O62" s="1"/>
      <c r="P62" s="1"/>
      <c r="Q62" s="1"/>
      <c r="R62" s="1"/>
    </row>
    <row r="63" spans="1:18" x14ac:dyDescent="0.25">
      <c r="O63" s="1"/>
      <c r="P63" s="1"/>
      <c r="Q63" s="1"/>
      <c r="R63" s="1"/>
    </row>
    <row r="64" spans="1:18" x14ac:dyDescent="0.25">
      <c r="O64" s="1"/>
      <c r="P64" s="1"/>
      <c r="Q64" s="1"/>
      <c r="R64" s="1"/>
    </row>
    <row r="65" spans="15:18" x14ac:dyDescent="0.25">
      <c r="O65" s="1"/>
      <c r="P65" s="1"/>
      <c r="Q65" s="1"/>
      <c r="R65" s="1"/>
    </row>
    <row r="66" spans="15:18" x14ac:dyDescent="0.25">
      <c r="O66" s="1"/>
      <c r="P66" s="1"/>
      <c r="Q66" s="1"/>
      <c r="R66" s="1"/>
    </row>
    <row r="67" spans="15:18" x14ac:dyDescent="0.25">
      <c r="O67" s="1"/>
      <c r="P67" s="1"/>
      <c r="Q67" s="1"/>
      <c r="R67" s="1"/>
    </row>
    <row r="68" spans="15:18" x14ac:dyDescent="0.25">
      <c r="O68" s="1"/>
      <c r="P68" s="1"/>
      <c r="Q68" s="1"/>
      <c r="R68" s="1"/>
    </row>
    <row r="69" spans="15:18" x14ac:dyDescent="0.25">
      <c r="O69" s="1"/>
      <c r="P69" s="1"/>
      <c r="Q69" s="1"/>
      <c r="R69" s="1"/>
    </row>
    <row r="70" spans="15:18" x14ac:dyDescent="0.25">
      <c r="O70" s="1"/>
      <c r="P70" s="1"/>
      <c r="Q70" s="1"/>
      <c r="R70" s="1"/>
    </row>
    <row r="71" spans="15:18" x14ac:dyDescent="0.25">
      <c r="O71" s="1"/>
      <c r="P71" s="1"/>
      <c r="Q71" s="1"/>
      <c r="R71" s="1"/>
    </row>
    <row r="72" spans="15:18" x14ac:dyDescent="0.25">
      <c r="O72" s="1"/>
      <c r="P72" s="1"/>
      <c r="Q72" s="1"/>
      <c r="R72" s="1"/>
    </row>
    <row r="73" spans="15:18" x14ac:dyDescent="0.25">
      <c r="O73" s="1"/>
      <c r="P73" s="1"/>
      <c r="Q73" s="1"/>
      <c r="R73" s="1"/>
    </row>
    <row r="74" spans="15:18" x14ac:dyDescent="0.25">
      <c r="O74" s="1"/>
      <c r="P74" s="1"/>
      <c r="Q74" s="1"/>
      <c r="R74" s="1"/>
    </row>
    <row r="75" spans="15:18" x14ac:dyDescent="0.25">
      <c r="O75" s="1"/>
      <c r="P75" s="1"/>
      <c r="Q75" s="1"/>
      <c r="R75" s="1"/>
    </row>
    <row r="76" spans="15:18" x14ac:dyDescent="0.25">
      <c r="O76" s="1"/>
      <c r="P76" s="1"/>
      <c r="Q76" s="1"/>
      <c r="R76" s="1"/>
    </row>
    <row r="77" spans="15:18" x14ac:dyDescent="0.25">
      <c r="O77" s="1"/>
      <c r="P77" s="1"/>
      <c r="Q77" s="1"/>
      <c r="R77" s="1"/>
    </row>
    <row r="78" spans="15:18" x14ac:dyDescent="0.25">
      <c r="O78" s="1"/>
      <c r="P78" s="1"/>
      <c r="Q78" s="1"/>
      <c r="R78" s="1"/>
    </row>
    <row r="79" spans="15:18" x14ac:dyDescent="0.25">
      <c r="O79" s="1"/>
      <c r="P79" s="1"/>
      <c r="Q79" s="1"/>
      <c r="R79" s="1"/>
    </row>
    <row r="80" spans="15:18" x14ac:dyDescent="0.25">
      <c r="O80" s="1"/>
      <c r="P80" s="1"/>
      <c r="Q80" s="1"/>
      <c r="R80" s="1"/>
    </row>
    <row r="82" spans="15:18" x14ac:dyDescent="0.25">
      <c r="R82" t="s">
        <v>67</v>
      </c>
    </row>
    <row r="94" spans="15:18" x14ac:dyDescent="0.25">
      <c r="O94" t="s">
        <v>43</v>
      </c>
      <c r="P94" t="s">
        <v>102</v>
      </c>
      <c r="R94" t="s">
        <v>104</v>
      </c>
    </row>
    <row r="96" spans="15:18" x14ac:dyDescent="0.25">
      <c r="P96" t="s">
        <v>100</v>
      </c>
    </row>
    <row r="98" spans="15:16" x14ac:dyDescent="0.25">
      <c r="P98" t="s">
        <v>103</v>
      </c>
    </row>
    <row r="100" spans="15:16" x14ac:dyDescent="0.25">
      <c r="O100" t="s">
        <v>44</v>
      </c>
      <c r="P100" t="s">
        <v>102</v>
      </c>
    </row>
    <row r="102" spans="15:16" x14ac:dyDescent="0.25">
      <c r="P102" t="s">
        <v>100</v>
      </c>
    </row>
    <row r="104" spans="15:16" x14ac:dyDescent="0.25">
      <c r="P104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Y70"/>
  <sheetViews>
    <sheetView workbookViewId="0">
      <selection activeCell="M23" sqref="M23"/>
    </sheetView>
  </sheetViews>
  <sheetFormatPr defaultRowHeight="15" x14ac:dyDescent="0.25"/>
  <cols>
    <col min="1" max="1" width="11.7109375" customWidth="1"/>
    <col min="2" max="2" width="22.28515625" style="15" customWidth="1"/>
    <col min="3" max="3" width="21.85546875" customWidth="1"/>
    <col min="4" max="5" width="10.7109375" customWidth="1"/>
    <col min="6" max="6" width="12.140625" bestFit="1" customWidth="1"/>
    <col min="7" max="8" width="19.7109375" bestFit="1" customWidth="1"/>
    <col min="9" max="9" width="12.7109375" customWidth="1"/>
    <col min="10" max="10" width="11.85546875" bestFit="1" customWidth="1"/>
    <col min="11" max="13" width="10.7109375" customWidth="1"/>
  </cols>
  <sheetData>
    <row r="1" spans="1:23" ht="26.25" x14ac:dyDescent="0.4">
      <c r="A1" s="19">
        <v>44776</v>
      </c>
      <c r="B1" s="20"/>
      <c r="C1" s="21"/>
      <c r="D1" s="22"/>
      <c r="E1" s="22"/>
      <c r="F1" s="22"/>
      <c r="G1" s="22"/>
      <c r="H1" s="22"/>
      <c r="I1" s="22"/>
      <c r="J1" s="22"/>
      <c r="K1" s="22"/>
      <c r="L1" s="22"/>
    </row>
    <row r="2" spans="1:23" x14ac:dyDescent="0.25">
      <c r="A2" s="6"/>
      <c r="B2" s="20"/>
      <c r="C2" s="6"/>
      <c r="D2" s="6"/>
      <c r="E2" s="6"/>
      <c r="F2" s="6"/>
      <c r="G2" s="6"/>
      <c r="H2" s="6"/>
    </row>
    <row r="3" spans="1:23" x14ac:dyDescent="0.25">
      <c r="A3" s="6"/>
      <c r="B3" s="20"/>
      <c r="C3" s="36" t="s">
        <v>57</v>
      </c>
      <c r="D3" s="23"/>
      <c r="E3" s="23"/>
      <c r="F3" s="23"/>
      <c r="G3" s="6"/>
      <c r="H3" s="6"/>
      <c r="I3" s="6"/>
      <c r="J3" s="6"/>
      <c r="K3" s="6"/>
      <c r="L3" s="6"/>
      <c r="N3" s="1"/>
      <c r="O3" s="1"/>
      <c r="P3" s="1"/>
      <c r="Q3" s="1"/>
      <c r="R3" s="1"/>
      <c r="S3" s="1"/>
      <c r="T3" s="3"/>
      <c r="U3" s="3"/>
      <c r="V3" s="3"/>
    </row>
    <row r="4" spans="1:23" x14ac:dyDescent="0.25">
      <c r="A4" s="6"/>
      <c r="B4" s="20"/>
      <c r="C4" s="6" t="s">
        <v>58</v>
      </c>
      <c r="D4" s="6" t="s">
        <v>0</v>
      </c>
      <c r="E4" s="6"/>
      <c r="F4" s="6" t="s">
        <v>1</v>
      </c>
      <c r="G4" s="6" t="s">
        <v>2</v>
      </c>
      <c r="H4" s="6"/>
      <c r="I4" s="6"/>
      <c r="J4" s="6"/>
      <c r="K4" s="52"/>
      <c r="L4" s="52"/>
      <c r="M4" s="52"/>
      <c r="N4" s="52"/>
      <c r="O4" s="52"/>
      <c r="P4" s="52"/>
      <c r="Q4" s="52"/>
      <c r="R4" s="52"/>
      <c r="S4" s="52"/>
      <c r="T4" s="52"/>
      <c r="U4" s="3"/>
      <c r="V4" s="3"/>
    </row>
    <row r="5" spans="1:23" x14ac:dyDescent="0.25">
      <c r="A5" s="6"/>
      <c r="B5" s="20"/>
      <c r="C5" s="7" t="s">
        <v>59</v>
      </c>
      <c r="D5" s="52">
        <v>9790.58</v>
      </c>
      <c r="E5" s="52">
        <v>10136.280000000001</v>
      </c>
      <c r="F5" s="24">
        <f>AVERAGE(D5:E5)</f>
        <v>9963.43</v>
      </c>
      <c r="G5" s="24">
        <f>F5*5</f>
        <v>49817.15</v>
      </c>
      <c r="H5" s="24"/>
      <c r="I5" s="52"/>
      <c r="J5" s="52"/>
      <c r="K5" s="52"/>
      <c r="L5" s="52"/>
      <c r="M5" s="52"/>
      <c r="N5" s="52"/>
      <c r="O5" s="52"/>
      <c r="P5" s="52"/>
      <c r="Q5" s="52"/>
      <c r="R5" s="4"/>
      <c r="S5" s="4"/>
      <c r="T5" s="3"/>
      <c r="U5" s="3"/>
      <c r="V5" s="3"/>
    </row>
    <row r="6" spans="1:23" x14ac:dyDescent="0.25">
      <c r="A6" s="6"/>
      <c r="B6" s="20"/>
      <c r="C6" s="7" t="s">
        <v>60</v>
      </c>
      <c r="D6" s="52">
        <v>8552.3799999999992</v>
      </c>
      <c r="E6" s="52">
        <v>8449.7099999999991</v>
      </c>
      <c r="F6" s="24">
        <f t="shared" ref="F6:F8" si="0">AVERAGE(D6:E6)</f>
        <v>8501.0449999999983</v>
      </c>
      <c r="G6" s="24">
        <f>F6*5</f>
        <v>42505.224999999991</v>
      </c>
      <c r="H6" s="24"/>
      <c r="I6" s="25"/>
      <c r="J6" s="23"/>
      <c r="K6" s="23"/>
      <c r="T6" s="1"/>
      <c r="U6" s="1"/>
      <c r="V6" s="3"/>
    </row>
    <row r="7" spans="1:23" x14ac:dyDescent="0.25">
      <c r="A7" s="6"/>
      <c r="B7" s="20"/>
      <c r="C7" s="7" t="s">
        <v>61</v>
      </c>
      <c r="D7" s="52">
        <v>10670.74</v>
      </c>
      <c r="E7" s="52">
        <v>11188.79</v>
      </c>
      <c r="F7" s="24">
        <f t="shared" si="0"/>
        <v>10929.764999999999</v>
      </c>
      <c r="G7" s="24">
        <f>F7*5</f>
        <v>54648.824999999997</v>
      </c>
      <c r="H7" s="24"/>
      <c r="I7" s="6"/>
      <c r="J7" s="6"/>
      <c r="K7" s="6"/>
      <c r="L7" s="6"/>
      <c r="P7" s="3"/>
      <c r="Q7" s="3"/>
      <c r="R7" s="3"/>
      <c r="S7" s="5"/>
      <c r="T7" s="5"/>
      <c r="U7" s="5"/>
      <c r="V7" s="5"/>
      <c r="W7" s="2"/>
    </row>
    <row r="8" spans="1:23" x14ac:dyDescent="0.25">
      <c r="A8" s="6"/>
      <c r="B8" s="20"/>
      <c r="C8" s="26" t="s">
        <v>62</v>
      </c>
      <c r="D8" s="52">
        <v>9876.33</v>
      </c>
      <c r="E8" s="52">
        <v>10172.09</v>
      </c>
      <c r="F8" s="24">
        <f t="shared" si="0"/>
        <v>10024.209999999999</v>
      </c>
      <c r="G8" s="24">
        <f>F8*5</f>
        <v>50121.049999999996</v>
      </c>
      <c r="H8" s="6"/>
      <c r="I8" s="6"/>
      <c r="J8" s="6"/>
      <c r="K8" s="6"/>
      <c r="L8" s="6"/>
    </row>
    <row r="9" spans="1:23" x14ac:dyDescent="0.25">
      <c r="A9" s="6"/>
      <c r="B9" s="20"/>
      <c r="C9" s="26"/>
      <c r="D9" s="26"/>
      <c r="E9" s="26"/>
      <c r="F9" s="26"/>
      <c r="G9" s="6"/>
      <c r="H9" s="6"/>
      <c r="I9" s="6"/>
      <c r="J9" s="6"/>
      <c r="K9" s="6"/>
      <c r="L9" s="6"/>
    </row>
    <row r="10" spans="1:23" x14ac:dyDescent="0.25">
      <c r="A10" s="6"/>
      <c r="B10" s="20"/>
      <c r="C10" s="26"/>
      <c r="D10" s="26"/>
      <c r="E10" s="26"/>
      <c r="F10" s="26"/>
      <c r="G10" s="6"/>
      <c r="H10" s="6"/>
      <c r="I10" s="6"/>
      <c r="J10" s="6"/>
      <c r="K10" s="6"/>
      <c r="L10" s="6"/>
    </row>
    <row r="11" spans="1:23" x14ac:dyDescent="0.25">
      <c r="A11" s="6"/>
      <c r="B11" s="20"/>
      <c r="C11" s="6"/>
      <c r="D11" s="6" t="s">
        <v>26</v>
      </c>
      <c r="E11" s="6" t="s">
        <v>25</v>
      </c>
      <c r="F11" s="6" t="s">
        <v>1</v>
      </c>
      <c r="G11" s="6" t="s">
        <v>27</v>
      </c>
      <c r="H11" s="6" t="s">
        <v>28</v>
      </c>
      <c r="I11" s="6" t="s">
        <v>29</v>
      </c>
      <c r="J11" s="6" t="s">
        <v>30</v>
      </c>
      <c r="K11" s="6"/>
      <c r="L11" s="6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1:23" x14ac:dyDescent="0.25">
      <c r="A12" s="6" t="s">
        <v>105</v>
      </c>
      <c r="B12" s="20" t="s">
        <v>59</v>
      </c>
      <c r="C12" s="6">
        <v>2</v>
      </c>
      <c r="D12" s="52">
        <v>899.44</v>
      </c>
      <c r="E12" s="52">
        <v>944.89</v>
      </c>
      <c r="F12" s="6">
        <f>AVERAGE(D12:E12)</f>
        <v>922.16499999999996</v>
      </c>
      <c r="G12" s="27">
        <f t="shared" ref="G12:H14" si="1">D12/$G$5*100</f>
        <v>1.8054826500512373</v>
      </c>
      <c r="H12" s="27">
        <f t="shared" si="1"/>
        <v>1.896716291477935</v>
      </c>
      <c r="I12" s="27">
        <f>AVERAGE(G12:H12)</f>
        <v>1.851099470764586</v>
      </c>
      <c r="J12" s="27">
        <f>_xlfn.STDEV.P(G12:H12)</f>
        <v>4.5616820713348827E-2</v>
      </c>
      <c r="K12" s="27"/>
      <c r="L12" s="2"/>
      <c r="M12" s="52"/>
      <c r="N12" s="52"/>
      <c r="O12" s="52"/>
      <c r="P12" s="52"/>
      <c r="Q12" s="52"/>
      <c r="R12" s="52"/>
      <c r="S12" s="52"/>
      <c r="T12" s="52"/>
      <c r="U12" s="52"/>
      <c r="V12" s="52"/>
    </row>
    <row r="13" spans="1:23" x14ac:dyDescent="0.25">
      <c r="A13" s="6"/>
      <c r="B13" s="20"/>
      <c r="C13" s="6">
        <v>5</v>
      </c>
      <c r="D13" s="52">
        <v>1266.5899999999999</v>
      </c>
      <c r="E13" s="52">
        <v>1310.5</v>
      </c>
      <c r="F13" s="6">
        <f>AVERAGE(D13:E13)</f>
        <v>1288.5450000000001</v>
      </c>
      <c r="G13" s="27">
        <f t="shared" si="1"/>
        <v>2.5424778414662419</v>
      </c>
      <c r="H13" s="27">
        <f t="shared" si="1"/>
        <v>2.6306201779909126</v>
      </c>
      <c r="I13" s="27">
        <f t="shared" ref="I13:I31" si="2">AVERAGE(G13:H13)</f>
        <v>2.5865490097285773</v>
      </c>
      <c r="J13" s="27">
        <f t="shared" ref="J13:J31" si="3">_xlfn.STDEV.P(G13:H13)</f>
        <v>4.407116826233537E-2</v>
      </c>
      <c r="K13" s="6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1:23" x14ac:dyDescent="0.25">
      <c r="A14" s="6"/>
      <c r="B14" s="20"/>
      <c r="C14" s="6">
        <v>10</v>
      </c>
      <c r="D14" s="52">
        <v>2044.99</v>
      </c>
      <c r="E14" s="52">
        <v>1799.47</v>
      </c>
      <c r="F14" s="6">
        <f>AVERAGE(D14:E14)</f>
        <v>1922.23</v>
      </c>
      <c r="G14" s="27">
        <f t="shared" si="1"/>
        <v>4.1049919555815624</v>
      </c>
      <c r="H14" s="27">
        <f t="shared" si="1"/>
        <v>3.6121496312013028</v>
      </c>
      <c r="I14" s="27">
        <f t="shared" si="2"/>
        <v>3.8585707933914328</v>
      </c>
      <c r="J14" s="27">
        <f t="shared" si="3"/>
        <v>0.24642116219012977</v>
      </c>
      <c r="K14" s="27"/>
      <c r="L14" s="27"/>
      <c r="M14" s="52"/>
      <c r="N14" s="52"/>
      <c r="O14" s="52"/>
      <c r="P14" s="52"/>
      <c r="Q14" s="52"/>
      <c r="R14" s="52"/>
      <c r="S14" s="52"/>
      <c r="T14" s="52"/>
      <c r="U14" s="52"/>
      <c r="V14" s="52"/>
    </row>
    <row r="15" spans="1:23" x14ac:dyDescent="0.25">
      <c r="A15" s="6"/>
      <c r="B15" s="20"/>
      <c r="C15" s="6">
        <v>30</v>
      </c>
      <c r="D15" s="52">
        <v>3422.18</v>
      </c>
      <c r="E15" s="52">
        <v>3149.61</v>
      </c>
      <c r="F15" s="6">
        <f>AVERAGE(D15:E15)</f>
        <v>3285.895</v>
      </c>
      <c r="G15" s="27">
        <f>D15/$G$5*100</f>
        <v>6.8694816945569945</v>
      </c>
      <c r="H15" s="27">
        <f>E15/$G$5*100</f>
        <v>6.3223408003067219</v>
      </c>
      <c r="I15" s="27">
        <f t="shared" si="2"/>
        <v>6.5959112474318582</v>
      </c>
      <c r="J15" s="27">
        <f t="shared" si="3"/>
        <v>0.27357044712513634</v>
      </c>
      <c r="K15" s="6"/>
      <c r="L15" s="27"/>
      <c r="O15" s="52"/>
      <c r="P15" s="52"/>
      <c r="Q15" s="52"/>
      <c r="R15" s="52"/>
      <c r="S15" s="52"/>
      <c r="T15" s="52"/>
    </row>
    <row r="16" spans="1:23" x14ac:dyDescent="0.25">
      <c r="A16" s="6"/>
      <c r="B16" s="20"/>
      <c r="C16" s="6">
        <v>60</v>
      </c>
      <c r="D16" s="52">
        <v>3970.81</v>
      </c>
      <c r="E16" s="52">
        <v>4106.1400000000003</v>
      </c>
      <c r="F16" s="6">
        <f>AVERAGE(D16:E16)</f>
        <v>4038.4750000000004</v>
      </c>
      <c r="G16" s="27">
        <f>D16/$G$5*100</f>
        <v>7.9707691026082381</v>
      </c>
      <c r="H16" s="27">
        <f>E16/$G$5*100</f>
        <v>8.2424225392259487</v>
      </c>
      <c r="I16" s="27">
        <f t="shared" si="2"/>
        <v>8.106595820917093</v>
      </c>
      <c r="J16" s="27">
        <f t="shared" si="3"/>
        <v>0.13582671830885529</v>
      </c>
      <c r="K16" s="6"/>
      <c r="L16" s="27"/>
    </row>
    <row r="17" spans="1:25" x14ac:dyDescent="0.25">
      <c r="A17" s="6"/>
      <c r="B17" s="23" t="s">
        <v>60</v>
      </c>
      <c r="C17" s="6">
        <v>2</v>
      </c>
      <c r="D17" s="52">
        <v>798.59</v>
      </c>
      <c r="E17" s="52">
        <v>841.08</v>
      </c>
      <c r="F17" s="6">
        <f t="shared" ref="F17:F31" si="4">AVERAGE(D17:E17)</f>
        <v>819.83500000000004</v>
      </c>
      <c r="G17" s="27">
        <f>D17/$G$6*100</f>
        <v>1.8788043117052085</v>
      </c>
      <c r="H17" s="55">
        <f>E17/$G$6*100</f>
        <v>1.9787684925794424</v>
      </c>
      <c r="I17" s="27">
        <f t="shared" si="2"/>
        <v>1.9287864021423253</v>
      </c>
      <c r="J17" s="27">
        <f t="shared" si="3"/>
        <v>4.9982090437116988E-2</v>
      </c>
      <c r="K17" s="27"/>
      <c r="L17" s="27"/>
    </row>
    <row r="18" spans="1:25" x14ac:dyDescent="0.25">
      <c r="A18" s="6"/>
      <c r="B18" s="20"/>
      <c r="C18" s="6">
        <v>5</v>
      </c>
      <c r="D18" s="52">
        <v>885.95</v>
      </c>
      <c r="E18" s="52">
        <v>1100.7</v>
      </c>
      <c r="F18" s="6">
        <f t="shared" si="4"/>
        <v>993.32500000000005</v>
      </c>
      <c r="G18" s="55">
        <f t="shared" ref="G18:G21" si="5">D18/$G$6*100</f>
        <v>2.0843319850677187</v>
      </c>
      <c r="H18" s="55">
        <f t="shared" ref="H18:H21" si="6">E18/$G$6*100</f>
        <v>2.5895639888978361</v>
      </c>
      <c r="I18" s="27">
        <f t="shared" si="2"/>
        <v>2.3369479869827776</v>
      </c>
      <c r="J18" s="27">
        <f t="shared" si="3"/>
        <v>0.25261600191505817</v>
      </c>
      <c r="K18" s="6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spans="1:25" x14ac:dyDescent="0.25">
      <c r="A19" s="6"/>
      <c r="B19" s="20"/>
      <c r="C19" s="6">
        <v>10</v>
      </c>
      <c r="D19" s="52">
        <v>1217.1400000000001</v>
      </c>
      <c r="E19" s="52">
        <v>1400.84</v>
      </c>
      <c r="F19" s="6">
        <f t="shared" si="4"/>
        <v>1308.99</v>
      </c>
      <c r="G19" s="55">
        <f t="shared" si="5"/>
        <v>2.8635067806369698</v>
      </c>
      <c r="H19" s="55">
        <f t="shared" si="6"/>
        <v>3.2956889417712771</v>
      </c>
      <c r="I19" s="27">
        <f t="shared" si="2"/>
        <v>3.0795978612041237</v>
      </c>
      <c r="J19" s="27">
        <f t="shared" si="3"/>
        <v>0.21609108056715365</v>
      </c>
      <c r="K19" s="27"/>
      <c r="L19" s="27"/>
    </row>
    <row r="20" spans="1:25" x14ac:dyDescent="0.25">
      <c r="A20" s="6"/>
      <c r="B20" s="20"/>
      <c r="C20" s="6">
        <v>30</v>
      </c>
      <c r="D20" s="52">
        <v>2213.02</v>
      </c>
      <c r="E20" s="52">
        <v>1991.34</v>
      </c>
      <c r="F20" s="6">
        <f t="shared" si="4"/>
        <v>2102.1799999999998</v>
      </c>
      <c r="G20" s="55">
        <f t="shared" si="5"/>
        <v>5.2064657933230567</v>
      </c>
      <c r="H20" s="55">
        <f t="shared" si="6"/>
        <v>4.6849299115579326</v>
      </c>
      <c r="I20" s="27">
        <f t="shared" si="2"/>
        <v>4.9456978524404942</v>
      </c>
      <c r="J20" s="27">
        <f t="shared" si="3"/>
        <v>0.26076794088256205</v>
      </c>
      <c r="K20" s="6"/>
      <c r="L20" s="52"/>
      <c r="M20" s="52"/>
      <c r="N20" s="52"/>
      <c r="O20" s="52"/>
      <c r="P20" s="52"/>
      <c r="Q20" s="52"/>
      <c r="R20" s="52"/>
      <c r="S20" s="52"/>
      <c r="T20" s="52"/>
      <c r="U20" s="52"/>
    </row>
    <row r="21" spans="1:25" x14ac:dyDescent="0.25">
      <c r="A21" s="6"/>
      <c r="B21" s="23"/>
      <c r="C21" s="6">
        <v>60</v>
      </c>
      <c r="D21" s="52">
        <v>3168.24</v>
      </c>
      <c r="E21" s="52">
        <v>3188.1</v>
      </c>
      <c r="F21" s="6">
        <f t="shared" si="4"/>
        <v>3178.17</v>
      </c>
      <c r="G21" s="55">
        <f t="shared" si="5"/>
        <v>7.453765978182683</v>
      </c>
      <c r="H21" s="55">
        <f t="shared" si="6"/>
        <v>7.5004896456847376</v>
      </c>
      <c r="I21" s="27">
        <f t="shared" si="2"/>
        <v>7.4771278119337108</v>
      </c>
      <c r="J21" s="27">
        <f t="shared" si="3"/>
        <v>2.3361833751027294E-2</v>
      </c>
      <c r="K21" s="27"/>
      <c r="L21" s="27"/>
    </row>
    <row r="22" spans="1:25" x14ac:dyDescent="0.25">
      <c r="A22" s="6"/>
      <c r="B22" s="20" t="s">
        <v>61</v>
      </c>
      <c r="C22" s="6">
        <v>2</v>
      </c>
      <c r="D22" s="52">
        <v>468.78</v>
      </c>
      <c r="E22" s="52">
        <v>599.46</v>
      </c>
      <c r="F22" s="6">
        <f t="shared" si="4"/>
        <v>534.12</v>
      </c>
      <c r="G22" s="27">
        <f>D22/$G$7*100</f>
        <v>0.85780435352452689</v>
      </c>
      <c r="H22" s="55">
        <f>E22/$G$7*100</f>
        <v>1.096931178300723</v>
      </c>
      <c r="I22" s="27">
        <f t="shared" si="2"/>
        <v>0.97736776591262498</v>
      </c>
      <c r="J22" s="27">
        <f t="shared" si="3"/>
        <v>0.1195634123880974</v>
      </c>
      <c r="K22" s="6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</row>
    <row r="23" spans="1:25" x14ac:dyDescent="0.25">
      <c r="A23" s="6"/>
      <c r="B23" s="20"/>
      <c r="C23" s="6">
        <v>5</v>
      </c>
      <c r="D23" s="52">
        <v>710.82</v>
      </c>
      <c r="E23" s="52">
        <v>689.65</v>
      </c>
      <c r="F23" s="6">
        <f t="shared" si="4"/>
        <v>700.23500000000001</v>
      </c>
      <c r="G23" s="55">
        <f t="shared" ref="G23:G26" si="7">D23/$G$7*100</f>
        <v>1.3007050014341572</v>
      </c>
      <c r="H23" s="55">
        <f t="shared" ref="H23:H26" si="8">E23/$G$7*100</f>
        <v>1.2619667485988948</v>
      </c>
      <c r="I23" s="27">
        <f t="shared" si="2"/>
        <v>1.281335875016526</v>
      </c>
      <c r="J23" s="27">
        <f t="shared" si="3"/>
        <v>1.9369126417631222E-2</v>
      </c>
      <c r="K23" s="27"/>
      <c r="L23" s="27"/>
    </row>
    <row r="24" spans="1:25" x14ac:dyDescent="0.25">
      <c r="A24" s="6"/>
      <c r="B24" s="20"/>
      <c r="C24" s="6">
        <v>10</v>
      </c>
      <c r="D24" s="52">
        <v>709.97</v>
      </c>
      <c r="E24" s="52">
        <v>702.62</v>
      </c>
      <c r="F24" s="6">
        <f t="shared" si="4"/>
        <v>706.29500000000007</v>
      </c>
      <c r="G24" s="55">
        <f t="shared" si="7"/>
        <v>1.2991496157511164</v>
      </c>
      <c r="H24" s="55">
        <f t="shared" si="8"/>
        <v>1.2857001042565874</v>
      </c>
      <c r="I24" s="27">
        <f t="shared" si="2"/>
        <v>1.2924248600038519</v>
      </c>
      <c r="J24" s="27">
        <f t="shared" si="3"/>
        <v>6.7247557472644992E-3</v>
      </c>
      <c r="K24" s="6"/>
      <c r="L24" s="27"/>
    </row>
    <row r="25" spans="1:25" x14ac:dyDescent="0.25">
      <c r="A25" s="6"/>
      <c r="B25" s="23"/>
      <c r="C25" s="6">
        <v>30</v>
      </c>
      <c r="D25" s="52">
        <v>1247.48</v>
      </c>
      <c r="E25" s="52">
        <v>1105.1400000000001</v>
      </c>
      <c r="F25" s="6">
        <f t="shared" si="4"/>
        <v>1176.31</v>
      </c>
      <c r="G25" s="55">
        <f t="shared" si="7"/>
        <v>2.2827206257408097</v>
      </c>
      <c r="H25" s="55">
        <f t="shared" si="8"/>
        <v>2.0222575691243136</v>
      </c>
      <c r="I25" s="27">
        <f t="shared" si="2"/>
        <v>2.1524890974325617</v>
      </c>
      <c r="J25" s="27">
        <f t="shared" si="3"/>
        <v>0.13023152830824802</v>
      </c>
      <c r="K25" s="27"/>
      <c r="L25" s="27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 x14ac:dyDescent="0.25">
      <c r="A26" s="6"/>
      <c r="B26" s="20"/>
      <c r="C26" s="6">
        <v>60</v>
      </c>
      <c r="D26" s="52">
        <v>1741.87</v>
      </c>
      <c r="E26" s="52">
        <v>1550.45</v>
      </c>
      <c r="F26" s="6">
        <f>AVERAGE(D26:E26)</f>
        <v>1646.1599999999999</v>
      </c>
      <c r="G26" s="55">
        <f t="shared" si="7"/>
        <v>3.1873878349625997</v>
      </c>
      <c r="H26" s="55">
        <f t="shared" si="8"/>
        <v>2.8371149791418206</v>
      </c>
      <c r="I26" s="27">
        <f t="shared" si="2"/>
        <v>3.0122514070522102</v>
      </c>
      <c r="J26" s="27">
        <f t="shared" si="3"/>
        <v>0.17513642791038952</v>
      </c>
      <c r="K26" s="6"/>
      <c r="L26" s="27"/>
    </row>
    <row r="27" spans="1:25" x14ac:dyDescent="0.25">
      <c r="A27" s="6"/>
      <c r="B27" s="20" t="s">
        <v>62</v>
      </c>
      <c r="C27" s="6">
        <v>2</v>
      </c>
      <c r="D27" s="52">
        <v>453.05</v>
      </c>
      <c r="E27" s="52">
        <v>369.05</v>
      </c>
      <c r="F27" s="6">
        <f t="shared" si="4"/>
        <v>411.05</v>
      </c>
      <c r="G27" s="27">
        <f>D27/$G$8*100</f>
        <v>0.90391162994390584</v>
      </c>
      <c r="H27" s="55">
        <f>E27/$G$8*100</f>
        <v>0.73631737563359112</v>
      </c>
      <c r="I27" s="27">
        <f t="shared" si="2"/>
        <v>0.82011450278874842</v>
      </c>
      <c r="J27" s="27">
        <f t="shared" si="3"/>
        <v>8.3797127155158191E-2</v>
      </c>
      <c r="K27" s="27"/>
      <c r="L27" s="27"/>
    </row>
    <row r="28" spans="1:25" x14ac:dyDescent="0.25">
      <c r="A28" s="6"/>
      <c r="B28" s="28"/>
      <c r="C28" s="6">
        <v>5</v>
      </c>
      <c r="D28" s="52">
        <v>379.69</v>
      </c>
      <c r="E28" s="52">
        <v>266.91000000000003</v>
      </c>
      <c r="F28" s="26">
        <f t="shared" si="4"/>
        <v>323.3</v>
      </c>
      <c r="G28" s="55">
        <f t="shared" ref="G28:G31" si="9">D28/$G$8*100</f>
        <v>0.75754598117956429</v>
      </c>
      <c r="H28" s="55">
        <f t="shared" ref="H28:H31" si="10">E28/$G$8*100</f>
        <v>0.53253074307102521</v>
      </c>
      <c r="I28" s="29">
        <f t="shared" si="2"/>
        <v>0.64503836212529475</v>
      </c>
      <c r="J28" s="27">
        <f t="shared" si="3"/>
        <v>0.11250761905426947</v>
      </c>
      <c r="K28" s="26"/>
      <c r="L28" s="29"/>
    </row>
    <row r="29" spans="1:25" x14ac:dyDescent="0.25">
      <c r="A29" s="6"/>
      <c r="B29" s="28"/>
      <c r="C29" s="6">
        <v>10</v>
      </c>
      <c r="D29" s="52">
        <v>661.65</v>
      </c>
      <c r="E29" s="52">
        <v>458.12</v>
      </c>
      <c r="F29" s="26">
        <f t="shared" si="4"/>
        <v>559.88499999999999</v>
      </c>
      <c r="G29" s="55">
        <f t="shared" si="9"/>
        <v>1.320104028147854</v>
      </c>
      <c r="H29" s="55">
        <f t="shared" si="10"/>
        <v>0.91402714029334997</v>
      </c>
      <c r="I29" s="29">
        <f t="shared" si="2"/>
        <v>1.1170655842206019</v>
      </c>
      <c r="J29" s="27">
        <f t="shared" si="3"/>
        <v>0.20303844392725304</v>
      </c>
      <c r="K29" s="26"/>
      <c r="L29" s="29"/>
    </row>
    <row r="30" spans="1:25" x14ac:dyDescent="0.25">
      <c r="A30" s="6"/>
      <c r="B30" s="28"/>
      <c r="C30" s="6">
        <v>30</v>
      </c>
      <c r="D30" s="52">
        <v>563.86</v>
      </c>
      <c r="E30" s="52">
        <v>730.73</v>
      </c>
      <c r="F30" s="26">
        <f t="shared" si="4"/>
        <v>647.29500000000007</v>
      </c>
      <c r="G30" s="55">
        <f t="shared" si="9"/>
        <v>1.1249963837549293</v>
      </c>
      <c r="H30" s="55">
        <f t="shared" si="10"/>
        <v>1.4579303506211463</v>
      </c>
      <c r="I30" s="29">
        <f t="shared" si="2"/>
        <v>1.2914633671880378</v>
      </c>
      <c r="J30" s="27">
        <f t="shared" si="3"/>
        <v>0.16646698343310862</v>
      </c>
      <c r="K30" s="26"/>
      <c r="L30" s="29"/>
    </row>
    <row r="31" spans="1:25" x14ac:dyDescent="0.25">
      <c r="A31" s="6"/>
      <c r="B31" s="28"/>
      <c r="C31" s="6">
        <v>60</v>
      </c>
      <c r="D31" s="52">
        <v>825.09</v>
      </c>
      <c r="E31" s="52">
        <v>884.85</v>
      </c>
      <c r="F31" s="26">
        <f t="shared" si="4"/>
        <v>854.97</v>
      </c>
      <c r="G31" s="55">
        <f t="shared" si="9"/>
        <v>1.6461945629630665</v>
      </c>
      <c r="H31" s="55">
        <f t="shared" si="10"/>
        <v>1.7654259038866904</v>
      </c>
      <c r="I31" s="29">
        <f t="shared" si="2"/>
        <v>1.7058102334248786</v>
      </c>
      <c r="J31" s="27">
        <f t="shared" si="3"/>
        <v>5.9615670461811932E-2</v>
      </c>
      <c r="K31" s="26"/>
      <c r="L31" s="29"/>
    </row>
    <row r="32" spans="1:25" s="52" customFormat="1" x14ac:dyDescent="0.25">
      <c r="A32" s="53"/>
      <c r="B32" s="56"/>
      <c r="C32" s="53"/>
      <c r="F32" s="54"/>
      <c r="G32" s="55"/>
      <c r="H32" s="55"/>
      <c r="I32" s="57"/>
      <c r="J32" s="55"/>
      <c r="K32" s="54"/>
      <c r="L32" s="57"/>
    </row>
    <row r="33" spans="1:22" s="52" customFormat="1" x14ac:dyDescent="0.25">
      <c r="A33" s="53"/>
      <c r="B33" s="56"/>
      <c r="C33" s="53"/>
      <c r="D33" s="51"/>
      <c r="E33" s="51"/>
      <c r="F33" s="51"/>
      <c r="G33" s="51"/>
      <c r="H33" s="51"/>
      <c r="I33" s="51"/>
      <c r="J33" s="51"/>
      <c r="K33" s="54"/>
      <c r="L33" s="57"/>
    </row>
    <row r="34" spans="1:22" x14ac:dyDescent="0.25">
      <c r="A34" s="6"/>
      <c r="B34" s="28"/>
      <c r="C34" s="1"/>
      <c r="D34" s="52"/>
      <c r="E34" s="52"/>
      <c r="F34" s="54"/>
      <c r="G34" s="57"/>
      <c r="H34" s="57"/>
      <c r="I34" s="57"/>
      <c r="J34" s="55"/>
      <c r="K34" s="1"/>
      <c r="L34" s="1"/>
    </row>
    <row r="35" spans="1:22" x14ac:dyDescent="0.25">
      <c r="A35" s="6"/>
      <c r="B35" s="28"/>
      <c r="C35" s="1"/>
      <c r="D35" s="52"/>
      <c r="E35" s="52"/>
      <c r="F35" s="54"/>
      <c r="G35" s="57"/>
      <c r="H35" s="57"/>
      <c r="I35" s="57"/>
      <c r="J35" s="55"/>
      <c r="K35" s="1"/>
      <c r="L35" s="1"/>
    </row>
    <row r="36" spans="1:22" x14ac:dyDescent="0.25">
      <c r="A36" s="6"/>
      <c r="B36" s="28"/>
      <c r="C36" s="1"/>
      <c r="D36" s="52"/>
      <c r="E36" s="52"/>
      <c r="F36" s="54"/>
      <c r="G36" s="57"/>
      <c r="H36" s="57"/>
      <c r="I36" s="57"/>
      <c r="J36" s="55"/>
      <c r="K36" s="1"/>
      <c r="L36" s="1"/>
    </row>
    <row r="37" spans="1:22" x14ac:dyDescent="0.25">
      <c r="A37" s="6"/>
      <c r="B37" s="28"/>
      <c r="C37" s="1"/>
      <c r="D37" s="52"/>
      <c r="E37" s="52"/>
      <c r="F37" s="54"/>
      <c r="G37" s="57"/>
      <c r="H37" s="57"/>
      <c r="I37" s="57"/>
      <c r="J37" s="55"/>
      <c r="K37" s="1"/>
      <c r="L37" s="1"/>
    </row>
    <row r="38" spans="1:22" x14ac:dyDescent="0.25">
      <c r="A38" s="6"/>
      <c r="B38" s="28"/>
      <c r="C38" s="1"/>
      <c r="D38" s="52"/>
      <c r="E38" s="52"/>
      <c r="F38" s="54"/>
      <c r="G38" s="57"/>
      <c r="H38" s="57"/>
      <c r="I38" s="57"/>
      <c r="J38" s="55"/>
      <c r="K38" s="1"/>
      <c r="L38" s="1"/>
    </row>
    <row r="39" spans="1:22" x14ac:dyDescent="0.25">
      <c r="A39" s="6"/>
      <c r="B39" s="28"/>
      <c r="C39" s="1"/>
      <c r="D39" s="52"/>
      <c r="E39" s="52"/>
      <c r="F39" s="54"/>
      <c r="G39" s="57"/>
      <c r="H39" s="57"/>
      <c r="I39" s="57"/>
      <c r="J39" s="55"/>
      <c r="K39" s="1"/>
      <c r="L39" s="1"/>
    </row>
    <row r="40" spans="1:22" x14ac:dyDescent="0.25">
      <c r="A40" s="6"/>
      <c r="B40" s="20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22" x14ac:dyDescent="0.25">
      <c r="A41" s="6"/>
      <c r="B41" s="20"/>
      <c r="C41" s="6"/>
      <c r="D41" s="6"/>
      <c r="E41" s="6"/>
      <c r="F41" s="6"/>
      <c r="G41" s="6"/>
      <c r="H41" s="6"/>
      <c r="I41" s="6"/>
      <c r="J41" s="6"/>
    </row>
    <row r="42" spans="1:22" x14ac:dyDescent="0.25">
      <c r="A42" s="6"/>
      <c r="B42" s="20"/>
      <c r="C42" s="6"/>
      <c r="D42" s="52"/>
      <c r="E42" s="52"/>
      <c r="F42" s="6"/>
      <c r="G42" s="27"/>
      <c r="H42" s="27"/>
      <c r="I42" s="27"/>
      <c r="J42" s="27"/>
    </row>
    <row r="43" spans="1:22" x14ac:dyDescent="0.25">
      <c r="A43" s="6"/>
      <c r="B43" s="20"/>
      <c r="C43" s="6"/>
      <c r="D43" s="52"/>
      <c r="E43" s="52"/>
      <c r="F43" s="6"/>
      <c r="G43" s="27"/>
      <c r="H43" s="27"/>
      <c r="I43" s="27"/>
      <c r="J43" s="27"/>
      <c r="M43" s="52"/>
      <c r="N43" s="52"/>
      <c r="O43" s="52"/>
      <c r="P43" s="52"/>
      <c r="Q43" s="52"/>
      <c r="R43" s="52"/>
      <c r="S43" s="52"/>
      <c r="T43" s="52"/>
      <c r="U43" s="52"/>
      <c r="V43" s="52"/>
    </row>
    <row r="44" spans="1:22" x14ac:dyDescent="0.25">
      <c r="A44" s="6"/>
      <c r="B44" s="20"/>
      <c r="C44" s="6"/>
      <c r="D44" s="52"/>
      <c r="E44" s="52"/>
      <c r="F44" s="6"/>
      <c r="G44" s="27"/>
      <c r="H44" s="27"/>
      <c r="I44" s="27"/>
      <c r="J44" s="27"/>
    </row>
    <row r="45" spans="1:22" x14ac:dyDescent="0.25">
      <c r="A45" s="6"/>
      <c r="B45" s="20"/>
      <c r="C45" s="6"/>
      <c r="D45" s="52"/>
      <c r="E45" s="52"/>
      <c r="F45" s="6"/>
      <c r="G45" s="27"/>
      <c r="H45" s="27"/>
      <c r="I45" s="27"/>
      <c r="J45" s="27"/>
    </row>
    <row r="46" spans="1:22" x14ac:dyDescent="0.25">
      <c r="A46" s="6"/>
      <c r="B46" s="20"/>
      <c r="C46" s="6"/>
      <c r="D46" s="52"/>
      <c r="E46" s="52"/>
      <c r="F46" s="6"/>
      <c r="G46" s="27"/>
      <c r="H46" s="27"/>
      <c r="I46" s="27"/>
      <c r="J46" s="27"/>
      <c r="M46" s="52"/>
      <c r="N46" s="52"/>
      <c r="O46" s="52"/>
      <c r="P46" s="52"/>
      <c r="Q46" s="52"/>
      <c r="R46" s="52"/>
      <c r="S46" s="52"/>
      <c r="T46" s="52"/>
      <c r="U46" s="52"/>
      <c r="V46" s="52"/>
    </row>
    <row r="47" spans="1:22" x14ac:dyDescent="0.25">
      <c r="A47" s="6"/>
      <c r="B47" s="23"/>
      <c r="C47" s="6"/>
      <c r="D47" s="52"/>
      <c r="E47" s="52"/>
      <c r="F47" s="6"/>
      <c r="G47" s="27"/>
      <c r="H47" s="55"/>
      <c r="I47" s="27"/>
      <c r="J47" s="27"/>
      <c r="N47" s="52"/>
    </row>
    <row r="48" spans="1:22" x14ac:dyDescent="0.25">
      <c r="A48" s="6"/>
      <c r="B48" s="20"/>
      <c r="C48" s="6"/>
      <c r="D48" s="52"/>
      <c r="E48" s="52"/>
      <c r="F48" s="6"/>
      <c r="G48" s="55"/>
      <c r="H48" s="55"/>
      <c r="I48" s="27"/>
      <c r="J48" s="27"/>
      <c r="N48" s="52"/>
    </row>
    <row r="49" spans="1:14" x14ac:dyDescent="0.25">
      <c r="A49" s="6"/>
      <c r="B49" s="20"/>
      <c r="C49" s="6"/>
      <c r="D49" s="52"/>
      <c r="E49" s="52"/>
      <c r="F49" s="6"/>
      <c r="G49" s="55"/>
      <c r="H49" s="55"/>
      <c r="I49" s="27"/>
      <c r="J49" s="27"/>
      <c r="N49" s="52"/>
    </row>
    <row r="50" spans="1:14" x14ac:dyDescent="0.25">
      <c r="A50" s="6"/>
      <c r="B50" s="20"/>
      <c r="C50" s="6"/>
      <c r="D50" s="52"/>
      <c r="E50" s="52"/>
      <c r="F50" s="6"/>
      <c r="G50" s="55"/>
      <c r="H50" s="55"/>
      <c r="I50" s="27"/>
      <c r="J50" s="27"/>
      <c r="N50" s="52"/>
    </row>
    <row r="51" spans="1:14" x14ac:dyDescent="0.25">
      <c r="A51" s="6"/>
      <c r="B51" s="23"/>
      <c r="C51" s="6"/>
      <c r="D51" s="52"/>
      <c r="E51" s="52"/>
      <c r="F51" s="6"/>
      <c r="G51" s="55"/>
      <c r="H51" s="55"/>
      <c r="I51" s="27"/>
      <c r="J51" s="27"/>
      <c r="N51" s="52"/>
    </row>
    <row r="52" spans="1:14" x14ac:dyDescent="0.25">
      <c r="A52" s="6"/>
      <c r="B52" s="20"/>
      <c r="C52" s="6"/>
      <c r="D52" s="52"/>
      <c r="E52" s="52"/>
      <c r="F52" s="6"/>
      <c r="G52" s="27"/>
      <c r="H52" s="55"/>
      <c r="I52" s="27"/>
      <c r="J52" s="27"/>
      <c r="N52" s="52"/>
    </row>
    <row r="53" spans="1:14" x14ac:dyDescent="0.25">
      <c r="A53" s="6"/>
      <c r="B53" s="20"/>
      <c r="C53" s="6"/>
      <c r="D53" s="52"/>
      <c r="E53" s="52"/>
      <c r="F53" s="6"/>
      <c r="G53" s="55"/>
      <c r="H53" s="55"/>
      <c r="I53" s="27"/>
      <c r="J53" s="27"/>
      <c r="N53" s="52"/>
    </row>
    <row r="54" spans="1:14" x14ac:dyDescent="0.25">
      <c r="A54" s="6"/>
      <c r="B54" s="20"/>
      <c r="C54" s="6"/>
      <c r="D54" s="52"/>
      <c r="E54" s="52"/>
      <c r="F54" s="6"/>
      <c r="G54" s="55"/>
      <c r="H54" s="55"/>
      <c r="I54" s="27"/>
      <c r="J54" s="27"/>
      <c r="N54" s="52"/>
    </row>
    <row r="55" spans="1:14" x14ac:dyDescent="0.25">
      <c r="A55" s="6"/>
      <c r="B55" s="23"/>
      <c r="C55" s="6"/>
      <c r="D55" s="52"/>
      <c r="E55" s="52"/>
      <c r="F55" s="6"/>
      <c r="G55" s="55"/>
      <c r="H55" s="55"/>
      <c r="I55" s="27"/>
      <c r="J55" s="27"/>
      <c r="N55" s="52"/>
    </row>
    <row r="56" spans="1:14" x14ac:dyDescent="0.25">
      <c r="A56" s="6"/>
      <c r="B56" s="20"/>
      <c r="C56" s="6"/>
      <c r="D56" s="52"/>
      <c r="E56" s="52"/>
      <c r="F56" s="6"/>
      <c r="G56" s="55"/>
      <c r="H56" s="55"/>
      <c r="I56" s="27"/>
      <c r="J56" s="27"/>
    </row>
    <row r="57" spans="1:14" x14ac:dyDescent="0.25">
      <c r="A57" s="6"/>
      <c r="B57" s="20"/>
      <c r="C57" s="6"/>
      <c r="D57" s="52"/>
      <c r="E57" s="52"/>
      <c r="F57" s="6"/>
      <c r="G57" s="27"/>
      <c r="H57" s="55"/>
      <c r="I57" s="27"/>
      <c r="J57" s="27"/>
    </row>
    <row r="58" spans="1:14" x14ac:dyDescent="0.25">
      <c r="A58" s="6"/>
      <c r="B58" s="28"/>
      <c r="C58" s="6"/>
      <c r="D58" s="52"/>
      <c r="E58" s="52"/>
      <c r="F58" s="26"/>
      <c r="G58" s="55"/>
      <c r="H58" s="55"/>
      <c r="I58" s="29"/>
      <c r="J58" s="27"/>
    </row>
    <row r="59" spans="1:14" x14ac:dyDescent="0.25">
      <c r="A59" s="6"/>
      <c r="B59" s="28"/>
      <c r="C59" s="6"/>
      <c r="D59" s="52"/>
      <c r="E59" s="52"/>
      <c r="F59" s="26"/>
      <c r="G59" s="55"/>
      <c r="H59" s="55"/>
      <c r="I59" s="29"/>
      <c r="J59" s="27"/>
    </row>
    <row r="60" spans="1:14" x14ac:dyDescent="0.25">
      <c r="A60" s="6"/>
      <c r="B60" s="28"/>
      <c r="C60" s="6"/>
      <c r="D60" s="52"/>
      <c r="E60" s="52"/>
      <c r="F60" s="26"/>
      <c r="G60" s="55"/>
      <c r="H60" s="55"/>
      <c r="I60" s="29"/>
      <c r="J60" s="27"/>
    </row>
    <row r="61" spans="1:14" x14ac:dyDescent="0.25">
      <c r="A61" s="6"/>
      <c r="B61" s="28"/>
      <c r="C61" s="6"/>
      <c r="D61" s="52"/>
      <c r="E61" s="52"/>
      <c r="F61" s="26"/>
      <c r="G61" s="55"/>
      <c r="H61" s="55"/>
      <c r="I61" s="29"/>
      <c r="J61" s="27"/>
    </row>
    <row r="62" spans="1:14" s="52" customFormat="1" x14ac:dyDescent="0.25">
      <c r="A62" s="53"/>
      <c r="B62" s="56"/>
      <c r="C62" s="53"/>
      <c r="F62" s="54"/>
      <c r="G62" s="55"/>
      <c r="H62" s="55"/>
      <c r="I62" s="57"/>
      <c r="J62" s="55"/>
    </row>
    <row r="63" spans="1:14" s="52" customFormat="1" x14ac:dyDescent="0.25">
      <c r="A63" s="53"/>
      <c r="B63" s="56"/>
      <c r="C63" s="53"/>
    </row>
    <row r="64" spans="1:14" s="52" customFormat="1" x14ac:dyDescent="0.25">
      <c r="A64" s="53"/>
      <c r="B64" s="56"/>
      <c r="C64" s="53"/>
      <c r="D64" s="51"/>
      <c r="E64" s="51"/>
      <c r="F64" s="51"/>
      <c r="G64" s="51"/>
      <c r="H64" s="51"/>
      <c r="I64" s="51"/>
      <c r="J64" s="51"/>
    </row>
    <row r="65" spans="2:23" x14ac:dyDescent="0.25">
      <c r="B65" s="28"/>
      <c r="C65" s="1"/>
      <c r="D65" s="52"/>
      <c r="E65" s="52"/>
      <c r="F65" s="54"/>
      <c r="G65" s="57"/>
      <c r="H65" s="57"/>
      <c r="I65" s="57"/>
      <c r="J65" s="5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</row>
    <row r="66" spans="2:23" x14ac:dyDescent="0.25">
      <c r="B66" s="28"/>
      <c r="C66" s="1"/>
      <c r="D66" s="52"/>
      <c r="E66" s="52"/>
      <c r="F66" s="54"/>
      <c r="G66" s="57"/>
      <c r="H66" s="57"/>
      <c r="I66" s="57"/>
      <c r="J66" s="55"/>
    </row>
    <row r="67" spans="2:23" x14ac:dyDescent="0.25">
      <c r="B67" s="28"/>
      <c r="C67" s="1"/>
      <c r="D67" s="52"/>
      <c r="E67" s="52"/>
      <c r="F67" s="54"/>
      <c r="G67" s="57"/>
      <c r="H67" s="57"/>
      <c r="I67" s="57"/>
      <c r="J67" s="55"/>
    </row>
    <row r="68" spans="2:23" x14ac:dyDescent="0.25">
      <c r="B68" s="28"/>
      <c r="C68" s="1"/>
      <c r="D68" s="52"/>
      <c r="E68" s="52"/>
      <c r="F68" s="54"/>
      <c r="G68" s="57"/>
      <c r="H68" s="57"/>
      <c r="I68" s="57"/>
      <c r="J68" s="55"/>
    </row>
    <row r="69" spans="2:23" x14ac:dyDescent="0.25">
      <c r="B69" s="28"/>
      <c r="C69" s="1"/>
      <c r="D69" s="52"/>
      <c r="E69" s="52"/>
      <c r="F69" s="54"/>
      <c r="G69" s="57"/>
      <c r="H69" s="57"/>
      <c r="I69" s="57"/>
      <c r="J69" s="55"/>
    </row>
    <row r="70" spans="2:23" x14ac:dyDescent="0.25">
      <c r="B70" s="28"/>
      <c r="C70" s="1"/>
      <c r="D70" s="52"/>
      <c r="E70" s="52"/>
      <c r="F70" s="54"/>
      <c r="G70" s="57"/>
      <c r="H70" s="57"/>
      <c r="I70" s="57"/>
      <c r="J70" s="55"/>
    </row>
  </sheetData>
  <pageMargins left="0.7" right="0.7" top="0.75" bottom="0.75" header="0.3" footer="0.3"/>
  <pageSetup paperSize="9"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45"/>
  <sheetViews>
    <sheetView tabSelected="1" topLeftCell="C1" workbookViewId="0">
      <selection activeCell="G24" sqref="G24"/>
    </sheetView>
  </sheetViews>
  <sheetFormatPr defaultRowHeight="15" x14ac:dyDescent="0.25"/>
  <cols>
    <col min="1" max="2" width="9.140625" style="52"/>
    <col min="3" max="3" width="20.7109375" style="52" bestFit="1" customWidth="1"/>
    <col min="4" max="4" width="17" style="52" customWidth="1"/>
    <col min="5" max="5" width="27" style="52" customWidth="1"/>
    <col min="6" max="6" width="20.5703125" style="52" customWidth="1"/>
    <col min="7" max="7" width="20.28515625" style="52" customWidth="1"/>
    <col min="8" max="8" width="23.85546875" style="52" customWidth="1"/>
    <col min="9" max="9" width="20.140625" style="52" customWidth="1"/>
    <col min="10" max="10" width="20.7109375" style="52" customWidth="1"/>
    <col min="11" max="11" width="22" style="52" customWidth="1"/>
    <col min="12" max="12" width="21.7109375" style="52" customWidth="1"/>
    <col min="13" max="14" width="21.85546875" style="52" bestFit="1" customWidth="1"/>
    <col min="15" max="16384" width="9.140625" style="52"/>
  </cols>
  <sheetData>
    <row r="1" spans="3:11" s="64" customFormat="1" ht="18.75" x14ac:dyDescent="0.3">
      <c r="C1" s="63" t="s">
        <v>123</v>
      </c>
    </row>
    <row r="2" spans="3:11" x14ac:dyDescent="0.25">
      <c r="C2" s="52" t="s">
        <v>124</v>
      </c>
      <c r="D2" s="52">
        <v>16</v>
      </c>
    </row>
    <row r="3" spans="3:11" x14ac:dyDescent="0.25">
      <c r="C3" s="52" t="s">
        <v>125</v>
      </c>
      <c r="D3" s="52">
        <v>80</v>
      </c>
    </row>
    <row r="4" spans="3:11" x14ac:dyDescent="0.25">
      <c r="C4" s="52" t="s">
        <v>126</v>
      </c>
      <c r="D4" s="52">
        <f>SUM(D2:D3)+F5</f>
        <v>96</v>
      </c>
      <c r="E4" s="52">
        <f>F11</f>
        <v>160</v>
      </c>
    </row>
    <row r="6" spans="3:11" x14ac:dyDescent="0.25">
      <c r="C6" s="52" t="s">
        <v>127</v>
      </c>
      <c r="D6" s="52">
        <v>105</v>
      </c>
    </row>
    <row r="8" spans="3:11" x14ac:dyDescent="0.25">
      <c r="C8" s="52" t="s">
        <v>128</v>
      </c>
      <c r="D8" s="52">
        <f>D6*0.2</f>
        <v>21</v>
      </c>
      <c r="E8" s="52" t="s">
        <v>129</v>
      </c>
    </row>
    <row r="9" spans="3:11" x14ac:dyDescent="0.25">
      <c r="C9" s="52" t="s">
        <v>130</v>
      </c>
      <c r="D9" s="52">
        <f>D8/50</f>
        <v>0.42</v>
      </c>
      <c r="E9" s="52" t="s">
        <v>129</v>
      </c>
      <c r="G9" s="52">
        <f>45-23</f>
        <v>22</v>
      </c>
      <c r="I9" s="52" t="s">
        <v>128</v>
      </c>
      <c r="J9" s="52">
        <f>G9</f>
        <v>22</v>
      </c>
      <c r="K9" s="52" t="s">
        <v>129</v>
      </c>
    </row>
    <row r="10" spans="3:11" x14ac:dyDescent="0.25">
      <c r="C10" s="52" t="s">
        <v>131</v>
      </c>
      <c r="D10" s="52">
        <f>D8-D9</f>
        <v>20.58</v>
      </c>
      <c r="E10" s="52" t="s">
        <v>129</v>
      </c>
      <c r="I10" s="52" t="s">
        <v>132</v>
      </c>
      <c r="J10" s="52">
        <f>J9/5</f>
        <v>4.4000000000000004</v>
      </c>
      <c r="K10" s="52" t="s">
        <v>129</v>
      </c>
    </row>
    <row r="11" spans="3:11" x14ac:dyDescent="0.25">
      <c r="F11" s="52">
        <f>64+96</f>
        <v>160</v>
      </c>
      <c r="I11" s="52" t="s">
        <v>133</v>
      </c>
      <c r="J11" s="52">
        <f>J9-J10</f>
        <v>17.600000000000001</v>
      </c>
      <c r="K11" s="52" t="s">
        <v>129</v>
      </c>
    </row>
    <row r="12" spans="3:11" x14ac:dyDescent="0.25">
      <c r="C12" s="52" t="s">
        <v>134</v>
      </c>
    </row>
    <row r="14" spans="3:11" x14ac:dyDescent="0.25">
      <c r="C14" s="52" t="s">
        <v>135</v>
      </c>
      <c r="H14" s="52" t="s">
        <v>136</v>
      </c>
    </row>
    <row r="15" spans="3:11" x14ac:dyDescent="0.25">
      <c r="C15" s="52" t="s">
        <v>240</v>
      </c>
    </row>
    <row r="16" spans="3:11" x14ac:dyDescent="0.25">
      <c r="C16" s="52" t="s">
        <v>241</v>
      </c>
    </row>
    <row r="17" spans="2:18" x14ac:dyDescent="0.25">
      <c r="C17" s="52" t="s">
        <v>242</v>
      </c>
    </row>
    <row r="18" spans="2:18" x14ac:dyDescent="0.25">
      <c r="C18" s="52" t="s">
        <v>137</v>
      </c>
    </row>
    <row r="20" spans="2:18" x14ac:dyDescent="0.25">
      <c r="C20" s="52" t="s">
        <v>138</v>
      </c>
    </row>
    <row r="21" spans="2:18" x14ac:dyDescent="0.25">
      <c r="C21" s="52" t="s">
        <v>139</v>
      </c>
      <c r="K21" s="65" t="s">
        <v>140</v>
      </c>
    </row>
    <row r="22" spans="2:18" x14ac:dyDescent="0.25">
      <c r="K22" s="65" t="s">
        <v>141</v>
      </c>
    </row>
    <row r="23" spans="2:18" x14ac:dyDescent="0.25">
      <c r="K23" s="52" t="s">
        <v>142</v>
      </c>
    </row>
    <row r="24" spans="2:18" x14ac:dyDescent="0.25">
      <c r="C24" s="52" t="s">
        <v>143</v>
      </c>
      <c r="D24" s="52" t="s">
        <v>144</v>
      </c>
      <c r="H24" s="52" t="s">
        <v>145</v>
      </c>
    </row>
    <row r="25" spans="2:18" x14ac:dyDescent="0.25">
      <c r="C25" s="52">
        <v>1</v>
      </c>
      <c r="D25" s="52">
        <v>2</v>
      </c>
      <c r="E25" s="52">
        <v>3</v>
      </c>
      <c r="F25" s="52">
        <v>4</v>
      </c>
      <c r="G25" s="52">
        <v>5</v>
      </c>
      <c r="H25" s="52">
        <v>6</v>
      </c>
      <c r="I25" s="52">
        <v>7</v>
      </c>
      <c r="J25" s="52">
        <v>8</v>
      </c>
      <c r="K25" s="52">
        <v>9</v>
      </c>
      <c r="L25" s="52">
        <v>10</v>
      </c>
      <c r="M25" s="52">
        <v>11</v>
      </c>
      <c r="N25" s="52">
        <v>12</v>
      </c>
    </row>
    <row r="26" spans="2:18" x14ac:dyDescent="0.25">
      <c r="B26" s="52" t="s">
        <v>146</v>
      </c>
      <c r="C26" s="66" t="s">
        <v>147</v>
      </c>
      <c r="D26" s="66" t="s">
        <v>147</v>
      </c>
      <c r="E26" s="67" t="s">
        <v>148</v>
      </c>
      <c r="F26" s="67" t="s">
        <v>148</v>
      </c>
      <c r="G26" s="68" t="s">
        <v>149</v>
      </c>
      <c r="H26" s="68" t="s">
        <v>149</v>
      </c>
      <c r="I26" s="69" t="s">
        <v>150</v>
      </c>
      <c r="J26" s="69" t="s">
        <v>150</v>
      </c>
      <c r="K26" s="70" t="s">
        <v>151</v>
      </c>
      <c r="L26" s="70" t="s">
        <v>151</v>
      </c>
      <c r="M26" s="71" t="s">
        <v>152</v>
      </c>
      <c r="N26" s="71" t="s">
        <v>152</v>
      </c>
    </row>
    <row r="27" spans="2:18" x14ac:dyDescent="0.25">
      <c r="B27" s="52" t="s">
        <v>153</v>
      </c>
      <c r="C27" s="66" t="s">
        <v>154</v>
      </c>
      <c r="D27" s="66" t="s">
        <v>154</v>
      </c>
      <c r="E27" s="72" t="s">
        <v>155</v>
      </c>
      <c r="F27" s="72" t="s">
        <v>155</v>
      </c>
      <c r="G27" s="73" t="s">
        <v>156</v>
      </c>
      <c r="H27" s="73" t="s">
        <v>156</v>
      </c>
      <c r="I27" s="69" t="s">
        <v>157</v>
      </c>
      <c r="J27" s="69" t="s">
        <v>157</v>
      </c>
      <c r="K27" s="70" t="s">
        <v>158</v>
      </c>
      <c r="L27" s="70" t="s">
        <v>158</v>
      </c>
      <c r="M27" s="74" t="s">
        <v>159</v>
      </c>
      <c r="N27" s="74" t="s">
        <v>160</v>
      </c>
    </row>
    <row r="28" spans="2:18" x14ac:dyDescent="0.25">
      <c r="B28" s="52" t="s">
        <v>161</v>
      </c>
      <c r="C28" s="66" t="s">
        <v>162</v>
      </c>
      <c r="D28" s="66" t="s">
        <v>162</v>
      </c>
      <c r="E28" s="72" t="s">
        <v>163</v>
      </c>
      <c r="F28" s="72" t="s">
        <v>163</v>
      </c>
      <c r="G28" s="73" t="s">
        <v>164</v>
      </c>
      <c r="H28" s="73" t="s">
        <v>164</v>
      </c>
      <c r="I28" s="69" t="s">
        <v>165</v>
      </c>
      <c r="J28" s="69" t="s">
        <v>165</v>
      </c>
      <c r="K28" s="70" t="s">
        <v>166</v>
      </c>
      <c r="L28" s="70" t="s">
        <v>166</v>
      </c>
      <c r="M28" s="74" t="s">
        <v>167</v>
      </c>
      <c r="N28" s="74" t="s">
        <v>168</v>
      </c>
    </row>
    <row r="29" spans="2:18" x14ac:dyDescent="0.25">
      <c r="B29" s="52" t="s">
        <v>169</v>
      </c>
      <c r="C29" s="66" t="s">
        <v>170</v>
      </c>
      <c r="D29" s="66" t="s">
        <v>170</v>
      </c>
      <c r="E29" s="72" t="s">
        <v>171</v>
      </c>
      <c r="F29" s="72" t="s">
        <v>171</v>
      </c>
      <c r="G29" s="73" t="s">
        <v>172</v>
      </c>
      <c r="H29" s="73" t="s">
        <v>172</v>
      </c>
      <c r="I29" s="69" t="s">
        <v>173</v>
      </c>
      <c r="J29" s="69" t="s">
        <v>173</v>
      </c>
      <c r="K29" s="70" t="s">
        <v>174</v>
      </c>
      <c r="L29" s="70" t="s">
        <v>174</v>
      </c>
      <c r="M29" s="74" t="s">
        <v>175</v>
      </c>
      <c r="N29" s="74" t="s">
        <v>175</v>
      </c>
      <c r="Q29" s="56" t="s">
        <v>43</v>
      </c>
      <c r="R29" s="23" t="s">
        <v>102</v>
      </c>
    </row>
    <row r="30" spans="2:18" x14ac:dyDescent="0.25">
      <c r="B30" s="52" t="s">
        <v>176</v>
      </c>
      <c r="C30" s="66" t="s">
        <v>177</v>
      </c>
      <c r="D30" s="66" t="s">
        <v>177</v>
      </c>
      <c r="E30" s="72" t="s">
        <v>178</v>
      </c>
      <c r="F30" s="72" t="s">
        <v>178</v>
      </c>
      <c r="G30" s="73" t="s">
        <v>179</v>
      </c>
      <c r="H30" s="73" t="s">
        <v>179</v>
      </c>
      <c r="I30" s="69" t="s">
        <v>180</v>
      </c>
      <c r="J30" s="69" t="s">
        <v>180</v>
      </c>
      <c r="K30" s="70" t="s">
        <v>181</v>
      </c>
      <c r="L30" s="70" t="s">
        <v>181</v>
      </c>
      <c r="M30" s="74" t="s">
        <v>182</v>
      </c>
      <c r="N30" s="74" t="s">
        <v>182</v>
      </c>
      <c r="Q30" s="56"/>
      <c r="R30" s="23" t="s">
        <v>183</v>
      </c>
    </row>
    <row r="31" spans="2:18" x14ac:dyDescent="0.25">
      <c r="B31" s="52" t="s">
        <v>184</v>
      </c>
      <c r="C31" s="66" t="s">
        <v>185</v>
      </c>
      <c r="D31" s="66" t="s">
        <v>185</v>
      </c>
      <c r="E31" s="75" t="s">
        <v>186</v>
      </c>
      <c r="F31" s="75" t="s">
        <v>186</v>
      </c>
      <c r="G31" s="76" t="s">
        <v>187</v>
      </c>
      <c r="H31" s="76" t="s">
        <v>187</v>
      </c>
      <c r="I31" s="77" t="s">
        <v>188</v>
      </c>
      <c r="J31" s="77" t="s">
        <v>188</v>
      </c>
      <c r="K31" s="77" t="s">
        <v>189</v>
      </c>
      <c r="L31" s="77" t="s">
        <v>189</v>
      </c>
      <c r="M31" s="78" t="s">
        <v>190</v>
      </c>
      <c r="N31" s="78" t="s">
        <v>191</v>
      </c>
      <c r="Q31" s="20"/>
      <c r="R31" s="23" t="s">
        <v>192</v>
      </c>
    </row>
    <row r="32" spans="2:18" x14ac:dyDescent="0.25">
      <c r="B32" s="52" t="s">
        <v>193</v>
      </c>
      <c r="C32" s="66" t="s">
        <v>194</v>
      </c>
      <c r="D32" s="66" t="s">
        <v>194</v>
      </c>
      <c r="E32" s="76" t="s">
        <v>195</v>
      </c>
      <c r="F32" s="76" t="s">
        <v>196</v>
      </c>
      <c r="G32" s="76" t="s">
        <v>197</v>
      </c>
      <c r="H32" s="76" t="s">
        <v>197</v>
      </c>
      <c r="I32" s="77" t="s">
        <v>190</v>
      </c>
      <c r="J32" s="77" t="s">
        <v>191</v>
      </c>
      <c r="K32" s="79" t="s">
        <v>198</v>
      </c>
      <c r="L32" s="79" t="s">
        <v>198</v>
      </c>
      <c r="M32" s="78" t="s">
        <v>199</v>
      </c>
      <c r="N32" s="78" t="s">
        <v>199</v>
      </c>
      <c r="Q32" s="20"/>
      <c r="R32" s="23" t="s">
        <v>200</v>
      </c>
    </row>
    <row r="33" spans="2:18" x14ac:dyDescent="0.25">
      <c r="B33" s="52" t="s">
        <v>201</v>
      </c>
      <c r="C33" s="66" t="s">
        <v>202</v>
      </c>
      <c r="D33" s="66" t="s">
        <v>202</v>
      </c>
      <c r="E33" s="76" t="s">
        <v>203</v>
      </c>
      <c r="F33" s="76" t="s">
        <v>204</v>
      </c>
      <c r="G33" s="80" t="s">
        <v>198</v>
      </c>
      <c r="H33" s="80" t="s">
        <v>198</v>
      </c>
      <c r="I33" s="77" t="s">
        <v>199</v>
      </c>
      <c r="J33" s="77" t="s">
        <v>199</v>
      </c>
      <c r="K33" s="78" t="s">
        <v>188</v>
      </c>
      <c r="L33" s="78" t="s">
        <v>188</v>
      </c>
      <c r="M33" s="78" t="s">
        <v>189</v>
      </c>
      <c r="N33" s="78" t="s">
        <v>189</v>
      </c>
      <c r="Q33" s="20"/>
      <c r="R33" s="23" t="s">
        <v>205</v>
      </c>
    </row>
    <row r="34" spans="2:18" x14ac:dyDescent="0.25">
      <c r="C34" s="81"/>
      <c r="D34" s="81"/>
      <c r="E34" s="81"/>
      <c r="F34" s="49"/>
      <c r="G34" s="49"/>
      <c r="H34" s="49"/>
      <c r="I34" s="49"/>
      <c r="J34" s="81"/>
      <c r="K34" s="81"/>
      <c r="L34" s="81"/>
      <c r="M34" s="81"/>
      <c r="N34" s="81"/>
      <c r="Q34" s="20"/>
      <c r="R34" s="23"/>
    </row>
    <row r="35" spans="2:18" x14ac:dyDescent="0.25">
      <c r="N35" s="81"/>
      <c r="Q35" s="20"/>
      <c r="R35" s="23"/>
    </row>
    <row r="36" spans="2:18" x14ac:dyDescent="0.25">
      <c r="C36" s="52" t="s">
        <v>206</v>
      </c>
      <c r="K36" s="52" t="s">
        <v>207</v>
      </c>
      <c r="N36" s="81"/>
      <c r="Q36" s="20"/>
      <c r="R36" s="23"/>
    </row>
    <row r="37" spans="2:18" x14ac:dyDescent="0.25">
      <c r="Q37" s="20"/>
      <c r="R37" s="23"/>
    </row>
    <row r="38" spans="2:18" x14ac:dyDescent="0.25">
      <c r="Q38" s="20"/>
      <c r="R38" s="23"/>
    </row>
    <row r="39" spans="2:18" x14ac:dyDescent="0.25">
      <c r="R39" s="23" t="s">
        <v>208</v>
      </c>
    </row>
    <row r="40" spans="2:18" x14ac:dyDescent="0.25">
      <c r="Q40" s="56" t="s">
        <v>44</v>
      </c>
      <c r="R40" s="23" t="s">
        <v>102</v>
      </c>
    </row>
    <row r="41" spans="2:18" x14ac:dyDescent="0.25">
      <c r="Q41" s="53"/>
      <c r="R41" s="23" t="s">
        <v>183</v>
      </c>
    </row>
    <row r="42" spans="2:18" x14ac:dyDescent="0.25">
      <c r="Q42" s="56"/>
      <c r="R42" s="23" t="s">
        <v>192</v>
      </c>
    </row>
    <row r="43" spans="2:18" x14ac:dyDescent="0.25">
      <c r="Q43" s="56"/>
      <c r="R43" s="23" t="s">
        <v>200</v>
      </c>
    </row>
    <row r="44" spans="2:18" x14ac:dyDescent="0.25">
      <c r="Q44" s="56"/>
      <c r="R44" s="23" t="s">
        <v>205</v>
      </c>
    </row>
    <row r="45" spans="2:18" x14ac:dyDescent="0.25">
      <c r="R45" s="23" t="s">
        <v>208</v>
      </c>
    </row>
  </sheetData>
  <pageMargins left="0.7" right="0.7" top="0.75" bottom="0.75" header="0.3" footer="0.3"/>
  <pageSetup paperSize="9" scale="3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8"/>
  <sheetViews>
    <sheetView workbookViewId="0">
      <selection activeCell="H67" sqref="H67"/>
    </sheetView>
  </sheetViews>
  <sheetFormatPr defaultRowHeight="15" x14ac:dyDescent="0.25"/>
  <cols>
    <col min="1" max="1" width="22" style="52" customWidth="1"/>
    <col min="2" max="2" width="10.7109375" style="52" bestFit="1" customWidth="1"/>
    <col min="3" max="3" width="10.5703125" style="52" bestFit="1" customWidth="1"/>
    <col min="4" max="4" width="9.140625" style="52"/>
    <col min="5" max="5" width="15.85546875" style="52" bestFit="1" customWidth="1"/>
    <col min="6" max="15" width="9.140625" style="52"/>
    <col min="16" max="16" width="9.7109375" style="52" customWidth="1"/>
    <col min="17" max="16384" width="9.140625" style="52"/>
  </cols>
  <sheetData>
    <row r="1" spans="1:22" x14ac:dyDescent="0.25">
      <c r="A1" s="82" t="s">
        <v>209</v>
      </c>
      <c r="B1" s="82"/>
    </row>
    <row r="2" spans="1:22" x14ac:dyDescent="0.25">
      <c r="A2" s="83">
        <v>1.0029999999999999</v>
      </c>
      <c r="B2" s="84">
        <v>1.034</v>
      </c>
      <c r="C2" s="84">
        <v>0.13100000000000001</v>
      </c>
      <c r="D2" s="84">
        <v>0.13600000000000001</v>
      </c>
      <c r="E2" s="84">
        <v>0.11799999999999999</v>
      </c>
      <c r="F2" s="84">
        <v>0.122</v>
      </c>
      <c r="G2" s="84">
        <v>0.125</v>
      </c>
      <c r="H2" s="84">
        <v>0.128</v>
      </c>
      <c r="I2" s="84">
        <v>0.13200000000000001</v>
      </c>
      <c r="J2" s="84">
        <v>0.13400000000000001</v>
      </c>
      <c r="K2" s="84">
        <v>0.13600000000000001</v>
      </c>
      <c r="L2" s="85">
        <v>0.14399999999999999</v>
      </c>
    </row>
    <row r="3" spans="1:22" x14ac:dyDescent="0.25">
      <c r="A3" s="86">
        <v>0.71499999999999997</v>
      </c>
      <c r="B3" s="87">
        <v>0.68600000000000005</v>
      </c>
      <c r="C3" s="87">
        <v>0.13400000000000001</v>
      </c>
      <c r="D3" s="87">
        <v>0.13800000000000001</v>
      </c>
      <c r="E3" s="87">
        <v>0.13500000000000001</v>
      </c>
      <c r="F3" s="87">
        <v>0.14199999999999999</v>
      </c>
      <c r="G3" s="87">
        <v>0.125</v>
      </c>
      <c r="H3" s="87">
        <v>0.126</v>
      </c>
      <c r="I3" s="87">
        <v>0.14000000000000001</v>
      </c>
      <c r="J3" s="87">
        <v>0.14799999999999999</v>
      </c>
      <c r="K3" s="87">
        <v>0.14000000000000001</v>
      </c>
      <c r="L3" s="88">
        <v>0.14399999999999999</v>
      </c>
    </row>
    <row r="4" spans="1:22" x14ac:dyDescent="0.25">
      <c r="A4" s="86">
        <v>0.55000000000000004</v>
      </c>
      <c r="B4" s="87">
        <v>0.54100000000000004</v>
      </c>
      <c r="C4" s="87">
        <v>0.13300000000000001</v>
      </c>
      <c r="D4" s="87">
        <v>0.13800000000000001</v>
      </c>
      <c r="E4" s="87">
        <v>0.123</v>
      </c>
      <c r="F4" s="87">
        <v>0.127</v>
      </c>
      <c r="G4" s="87">
        <v>0.124</v>
      </c>
      <c r="H4" s="87">
        <v>0.129</v>
      </c>
      <c r="I4" s="87">
        <v>0.13500000000000001</v>
      </c>
      <c r="J4" s="87">
        <v>0.13900000000000001</v>
      </c>
      <c r="K4" s="87">
        <v>0.14000000000000001</v>
      </c>
      <c r="L4" s="88">
        <v>0.14299999999999999</v>
      </c>
    </row>
    <row r="5" spans="1:22" x14ac:dyDescent="0.25">
      <c r="A5" s="86">
        <v>0.45200000000000001</v>
      </c>
      <c r="B5" s="87">
        <v>0.42199999999999999</v>
      </c>
      <c r="C5" s="87">
        <v>0.127</v>
      </c>
      <c r="D5" s="87">
        <v>0.13200000000000001</v>
      </c>
      <c r="E5" s="87">
        <v>0.127</v>
      </c>
      <c r="F5" s="87">
        <v>0.13100000000000001</v>
      </c>
      <c r="G5" s="87">
        <v>0.125</v>
      </c>
      <c r="H5" s="87">
        <v>0.13200000000000001</v>
      </c>
      <c r="I5" s="87">
        <v>0.11899999999999999</v>
      </c>
      <c r="J5" s="87">
        <v>0.121</v>
      </c>
      <c r="K5" s="87">
        <v>0.13300000000000001</v>
      </c>
      <c r="L5" s="88">
        <v>0.13700000000000001</v>
      </c>
    </row>
    <row r="6" spans="1:22" x14ac:dyDescent="0.25">
      <c r="A6" s="86">
        <v>0.33600000000000002</v>
      </c>
      <c r="B6" s="87">
        <v>0.33800000000000002</v>
      </c>
      <c r="C6" s="87">
        <v>0.12</v>
      </c>
      <c r="D6" s="87">
        <v>0.121</v>
      </c>
      <c r="E6" s="87">
        <v>0.123</v>
      </c>
      <c r="F6" s="87">
        <v>0.13100000000000001</v>
      </c>
      <c r="G6" s="87">
        <v>0.13800000000000001</v>
      </c>
      <c r="H6" s="87">
        <v>0.13500000000000001</v>
      </c>
      <c r="I6" s="87">
        <v>0.129</v>
      </c>
      <c r="J6" s="87">
        <v>0.128</v>
      </c>
      <c r="K6" s="87">
        <v>0.14199999999999999</v>
      </c>
      <c r="L6" s="88">
        <v>0.14599999999999999</v>
      </c>
    </row>
    <row r="7" spans="1:22" x14ac:dyDescent="0.25">
      <c r="A7" s="86">
        <v>0.218</v>
      </c>
      <c r="B7" s="87">
        <v>0.22500000000000001</v>
      </c>
      <c r="C7" s="87">
        <v>0.13600000000000001</v>
      </c>
      <c r="D7" s="87">
        <v>0.14000000000000001</v>
      </c>
      <c r="E7" s="87">
        <v>0.13400000000000001</v>
      </c>
      <c r="F7" s="87">
        <v>0.13700000000000001</v>
      </c>
      <c r="G7" s="87">
        <v>0.13600000000000001</v>
      </c>
      <c r="H7" s="87">
        <v>0.13900000000000001</v>
      </c>
      <c r="I7" s="87">
        <v>0.13300000000000001</v>
      </c>
      <c r="J7" s="87">
        <v>0.13600000000000001</v>
      </c>
      <c r="K7" s="87">
        <v>0.127</v>
      </c>
      <c r="L7" s="88">
        <v>0.13300000000000001</v>
      </c>
    </row>
    <row r="8" spans="1:22" x14ac:dyDescent="0.25">
      <c r="A8" s="86">
        <v>0.14899999999999999</v>
      </c>
      <c r="B8" s="87">
        <v>0.14599999999999999</v>
      </c>
      <c r="C8" s="87">
        <v>0.15</v>
      </c>
      <c r="D8" s="87">
        <v>0.152</v>
      </c>
      <c r="E8" s="87">
        <v>0.128</v>
      </c>
      <c r="F8" s="87">
        <v>0.13400000000000001</v>
      </c>
      <c r="G8" s="87">
        <v>0.13600000000000001</v>
      </c>
      <c r="H8" s="87">
        <v>0.13700000000000001</v>
      </c>
      <c r="I8" s="87">
        <v>0.13600000000000001</v>
      </c>
      <c r="J8" s="87">
        <v>0.13700000000000001</v>
      </c>
      <c r="K8" s="87">
        <v>0.14699999999999999</v>
      </c>
      <c r="L8" s="88">
        <v>0.153</v>
      </c>
    </row>
    <row r="9" spans="1:22" x14ac:dyDescent="0.25">
      <c r="A9" s="89">
        <v>7.8E-2</v>
      </c>
      <c r="B9" s="90">
        <v>7.6999999999999999E-2</v>
      </c>
      <c r="C9" s="90">
        <v>0.13800000000000001</v>
      </c>
      <c r="D9" s="90">
        <v>0.14099999999999999</v>
      </c>
      <c r="E9" s="90">
        <v>0.14499999999999999</v>
      </c>
      <c r="F9" s="90">
        <v>0.15</v>
      </c>
      <c r="G9" s="90">
        <v>0.13300000000000001</v>
      </c>
      <c r="H9" s="90">
        <v>0.13700000000000001</v>
      </c>
      <c r="I9" s="90">
        <v>0.14199999999999999</v>
      </c>
      <c r="J9" s="90">
        <v>0.14399999999999999</v>
      </c>
      <c r="K9" s="90">
        <v>0.14799999999999999</v>
      </c>
      <c r="L9" s="91">
        <v>0.14899999999999999</v>
      </c>
    </row>
    <row r="11" spans="1:22" x14ac:dyDescent="0.25">
      <c r="A11" s="82" t="s">
        <v>210</v>
      </c>
      <c r="B11" s="82"/>
    </row>
    <row r="12" spans="1:22" x14ac:dyDescent="0.25">
      <c r="A12" s="52" t="s">
        <v>211</v>
      </c>
      <c r="B12" s="52" t="s">
        <v>146</v>
      </c>
      <c r="C12" s="52" t="s">
        <v>153</v>
      </c>
      <c r="D12" s="52" t="s">
        <v>212</v>
      </c>
      <c r="E12" s="52" t="s">
        <v>213</v>
      </c>
      <c r="O12" s="92" t="s">
        <v>214</v>
      </c>
      <c r="U12" s="92" t="s">
        <v>215</v>
      </c>
      <c r="V12" s="92"/>
    </row>
    <row r="13" spans="1:22" x14ac:dyDescent="0.25">
      <c r="A13" s="92">
        <v>2</v>
      </c>
      <c r="B13" s="83">
        <v>1.0029999999999999</v>
      </c>
      <c r="C13" s="84">
        <v>1.034</v>
      </c>
      <c r="D13" s="92">
        <f t="shared" ref="D13:D20" si="0">AVERAGE(B13:C13)</f>
        <v>1.0185</v>
      </c>
      <c r="F13" s="92" t="s">
        <v>216</v>
      </c>
      <c r="O13" s="92"/>
    </row>
    <row r="14" spans="1:22" x14ac:dyDescent="0.25">
      <c r="A14" s="92">
        <v>1.5</v>
      </c>
      <c r="B14" s="104">
        <v>0.71499999999999997</v>
      </c>
      <c r="C14" s="105">
        <v>0.68600000000000005</v>
      </c>
      <c r="D14" s="92">
        <f t="shared" si="0"/>
        <v>0.70050000000000001</v>
      </c>
      <c r="E14" s="52">
        <f t="shared" ref="E14:E19" si="1">(D14-$G$25)/$G$24</f>
        <v>1.3165284612113477</v>
      </c>
      <c r="O14" s="92" t="s">
        <v>217</v>
      </c>
    </row>
    <row r="15" spans="1:22" x14ac:dyDescent="0.25">
      <c r="A15" s="52">
        <v>1</v>
      </c>
      <c r="B15" s="86">
        <v>0.55000000000000004</v>
      </c>
      <c r="C15" s="87">
        <v>0.54100000000000004</v>
      </c>
      <c r="D15" s="52">
        <f t="shared" si="0"/>
        <v>0.5455000000000001</v>
      </c>
      <c r="E15" s="52">
        <f t="shared" si="1"/>
        <v>0.98107648381021817</v>
      </c>
      <c r="O15" s="92" t="s">
        <v>218</v>
      </c>
    </row>
    <row r="16" spans="1:22" x14ac:dyDescent="0.25">
      <c r="A16" s="52">
        <v>0.75</v>
      </c>
      <c r="B16" s="86">
        <v>0.45200000000000001</v>
      </c>
      <c r="C16" s="87">
        <v>0.42199999999999999</v>
      </c>
      <c r="D16" s="52">
        <f t="shared" si="0"/>
        <v>0.437</v>
      </c>
      <c r="E16" s="52">
        <f t="shared" si="1"/>
        <v>0.74626009962942697</v>
      </c>
      <c r="O16" s="92"/>
    </row>
    <row r="17" spans="1:19" x14ac:dyDescent="0.25">
      <c r="A17" s="52">
        <v>0.5</v>
      </c>
      <c r="B17" s="86">
        <v>0.33600000000000002</v>
      </c>
      <c r="C17" s="87">
        <v>0.33800000000000002</v>
      </c>
      <c r="D17" s="52">
        <f t="shared" si="0"/>
        <v>0.33700000000000002</v>
      </c>
      <c r="E17" s="52">
        <f t="shared" si="1"/>
        <v>0.52983946904805301</v>
      </c>
      <c r="O17" s="92" t="s">
        <v>219</v>
      </c>
      <c r="R17" s="52">
        <v>5</v>
      </c>
    </row>
    <row r="18" spans="1:19" x14ac:dyDescent="0.25">
      <c r="A18" s="52">
        <v>0.25</v>
      </c>
      <c r="B18" s="86">
        <v>0.218</v>
      </c>
      <c r="C18" s="87">
        <v>0.22500000000000001</v>
      </c>
      <c r="D18" s="52">
        <f t="shared" si="0"/>
        <v>0.2215</v>
      </c>
      <c r="E18" s="52">
        <f t="shared" si="1"/>
        <v>0.2798736407265659</v>
      </c>
      <c r="G18" s="52" t="s">
        <v>220</v>
      </c>
      <c r="O18" s="92" t="s">
        <v>221</v>
      </c>
      <c r="R18" s="52">
        <v>1</v>
      </c>
      <c r="S18" s="46" t="s">
        <v>222</v>
      </c>
    </row>
    <row r="19" spans="1:19" x14ac:dyDescent="0.25">
      <c r="A19" s="52">
        <v>0.125</v>
      </c>
      <c r="B19" s="86">
        <v>0.14899999999999999</v>
      </c>
      <c r="C19" s="87">
        <v>0.14599999999999999</v>
      </c>
      <c r="D19" s="52">
        <f t="shared" si="0"/>
        <v>0.14749999999999999</v>
      </c>
      <c r="E19" s="52">
        <f t="shared" si="1"/>
        <v>0.11972237409634905</v>
      </c>
      <c r="O19" s="93" t="s">
        <v>223</v>
      </c>
      <c r="P19" s="94"/>
      <c r="Q19" s="94"/>
      <c r="R19" s="94">
        <f>R17*R18</f>
        <v>5</v>
      </c>
    </row>
    <row r="20" spans="1:19" x14ac:dyDescent="0.25">
      <c r="A20" s="52">
        <v>0</v>
      </c>
      <c r="B20" s="89">
        <v>7.8E-2</v>
      </c>
      <c r="C20" s="90">
        <v>7.6999999999999999E-2</v>
      </c>
      <c r="D20" s="52">
        <f t="shared" si="0"/>
        <v>7.7499999999999999E-2</v>
      </c>
    </row>
    <row r="23" spans="1:19" x14ac:dyDescent="0.25">
      <c r="A23" s="95" t="s">
        <v>224</v>
      </c>
      <c r="B23" s="95"/>
      <c r="C23" s="96"/>
      <c r="D23" s="96" t="s">
        <v>225</v>
      </c>
      <c r="E23" s="96"/>
      <c r="F23" s="96"/>
    </row>
    <row r="24" spans="1:19" x14ac:dyDescent="0.25">
      <c r="A24" s="97" t="s">
        <v>226</v>
      </c>
      <c r="B24" s="96">
        <f t="array" ref="B24:C28">LINEST(D13:D18,A13:A18,1,1)</f>
        <v>0.435235294117647</v>
      </c>
      <c r="C24" s="96">
        <v>0.10809803921568634</v>
      </c>
      <c r="D24" s="98" t="s">
        <v>227</v>
      </c>
      <c r="G24" s="52">
        <v>0.46206315789473701</v>
      </c>
      <c r="I24" s="52" t="s">
        <v>239</v>
      </c>
    </row>
    <row r="25" spans="1:19" x14ac:dyDescent="0.25">
      <c r="A25" s="99" t="s">
        <v>228</v>
      </c>
      <c r="B25" s="96">
        <v>2.5223916489933041E-2</v>
      </c>
      <c r="C25" s="96">
        <v>2.9352735392450559E-2</v>
      </c>
      <c r="D25" s="99" t="s">
        <v>229</v>
      </c>
      <c r="G25" s="52">
        <v>9.2180701754385891E-2</v>
      </c>
      <c r="I25" s="52" t="s">
        <v>238</v>
      </c>
    </row>
    <row r="26" spans="1:19" x14ac:dyDescent="0.25">
      <c r="A26" s="97" t="s">
        <v>230</v>
      </c>
      <c r="B26" s="96">
        <v>0.9867431320142408</v>
      </c>
      <c r="C26" s="96">
        <v>3.6769860913098674E-2</v>
      </c>
      <c r="D26" s="97" t="s">
        <v>231</v>
      </c>
    </row>
    <row r="27" spans="1:19" x14ac:dyDescent="0.25">
      <c r="A27" s="100" t="s">
        <v>184</v>
      </c>
      <c r="B27" s="96">
        <v>297.73039395858086</v>
      </c>
      <c r="C27" s="96">
        <v>4</v>
      </c>
      <c r="D27" s="100" t="s">
        <v>232</v>
      </c>
      <c r="H27" s="101"/>
      <c r="I27" s="101"/>
      <c r="J27" s="101"/>
      <c r="K27" s="102"/>
    </row>
    <row r="28" spans="1:19" x14ac:dyDescent="0.25">
      <c r="A28" s="96"/>
      <c r="B28" s="96">
        <v>0.40253824264705879</v>
      </c>
      <c r="C28" s="96">
        <v>5.4080906862744877E-3</v>
      </c>
      <c r="D28" s="96"/>
    </row>
    <row r="29" spans="1:19" x14ac:dyDescent="0.25">
      <c r="G29" s="53"/>
      <c r="H29" s="53"/>
    </row>
    <row r="30" spans="1:19" x14ac:dyDescent="0.25">
      <c r="A30" s="82" t="s">
        <v>233</v>
      </c>
      <c r="B30" s="82"/>
      <c r="C30" s="82"/>
    </row>
    <row r="31" spans="1:19" x14ac:dyDescent="0.25">
      <c r="A31" s="52" t="s">
        <v>234</v>
      </c>
      <c r="B31" s="52" t="s">
        <v>146</v>
      </c>
      <c r="C31" s="52" t="s">
        <v>153</v>
      </c>
      <c r="D31" s="52" t="s">
        <v>212</v>
      </c>
      <c r="E31" s="52" t="s">
        <v>235</v>
      </c>
    </row>
    <row r="32" spans="1:19" x14ac:dyDescent="0.25">
      <c r="A32" s="67" t="s">
        <v>148</v>
      </c>
      <c r="B32" s="84">
        <v>0.13100000000000001</v>
      </c>
      <c r="C32" s="84">
        <v>0.13600000000000001</v>
      </c>
      <c r="D32" s="103">
        <f t="shared" ref="D32:D71" si="2">AVERAGE(B32:C32)</f>
        <v>0.13350000000000001</v>
      </c>
      <c r="E32" s="52">
        <f t="shared" ref="E32:E71" si="3">(D32-$G$25)/$G$24</f>
        <v>8.942348581495671E-2</v>
      </c>
    </row>
    <row r="33" spans="1:10" x14ac:dyDescent="0.25">
      <c r="A33" s="72" t="s">
        <v>155</v>
      </c>
      <c r="B33" s="87">
        <v>0.13400000000000001</v>
      </c>
      <c r="C33" s="87">
        <v>0.13800000000000001</v>
      </c>
      <c r="D33" s="103">
        <f t="shared" si="2"/>
        <v>0.13600000000000001</v>
      </c>
      <c r="E33" s="52">
        <f t="shared" si="3"/>
        <v>9.4834001579491067E-2</v>
      </c>
    </row>
    <row r="34" spans="1:10" x14ac:dyDescent="0.25">
      <c r="A34" s="72" t="s">
        <v>163</v>
      </c>
      <c r="B34" s="87">
        <v>0.13300000000000001</v>
      </c>
      <c r="C34" s="87">
        <v>0.13800000000000001</v>
      </c>
      <c r="D34" s="103">
        <f t="shared" si="2"/>
        <v>0.13550000000000001</v>
      </c>
      <c r="E34" s="52">
        <f t="shared" si="3"/>
        <v>9.3751898426584199E-2</v>
      </c>
    </row>
    <row r="35" spans="1:10" x14ac:dyDescent="0.25">
      <c r="A35" s="72" t="s">
        <v>171</v>
      </c>
      <c r="B35" s="87">
        <v>0.127</v>
      </c>
      <c r="C35" s="87">
        <v>0.13200000000000001</v>
      </c>
      <c r="D35" s="103">
        <f t="shared" si="2"/>
        <v>0.1295</v>
      </c>
      <c r="E35" s="52">
        <f t="shared" si="3"/>
        <v>8.0766660591701733E-2</v>
      </c>
    </row>
    <row r="36" spans="1:10" x14ac:dyDescent="0.25">
      <c r="A36" s="72" t="s">
        <v>178</v>
      </c>
      <c r="B36" s="87">
        <v>0.12</v>
      </c>
      <c r="C36" s="87">
        <v>0.121</v>
      </c>
      <c r="D36" s="103">
        <f t="shared" si="2"/>
        <v>0.1205</v>
      </c>
      <c r="E36" s="52">
        <f t="shared" si="3"/>
        <v>6.1288803839378056E-2</v>
      </c>
    </row>
    <row r="37" spans="1:10" x14ac:dyDescent="0.25">
      <c r="A37" s="68" t="s">
        <v>149</v>
      </c>
      <c r="B37" s="84">
        <v>0.11799999999999999</v>
      </c>
      <c r="C37" s="84">
        <v>0.122</v>
      </c>
      <c r="D37" s="103">
        <f t="shared" si="2"/>
        <v>0.12</v>
      </c>
      <c r="E37" s="52">
        <f t="shared" si="3"/>
        <v>6.020670068647118E-2</v>
      </c>
    </row>
    <row r="38" spans="1:10" x14ac:dyDescent="0.25">
      <c r="A38" s="73" t="s">
        <v>156</v>
      </c>
      <c r="B38" s="87">
        <v>0.13500000000000001</v>
      </c>
      <c r="C38" s="87">
        <v>0.14199999999999999</v>
      </c>
      <c r="D38" s="103">
        <f t="shared" si="2"/>
        <v>0.13850000000000001</v>
      </c>
      <c r="E38" s="52">
        <f t="shared" si="3"/>
        <v>0.10024451734402542</v>
      </c>
    </row>
    <row r="39" spans="1:10" x14ac:dyDescent="0.25">
      <c r="A39" s="73" t="s">
        <v>164</v>
      </c>
      <c r="B39" s="87">
        <v>0.123</v>
      </c>
      <c r="C39" s="87">
        <v>0.127</v>
      </c>
      <c r="D39" s="103">
        <f t="shared" si="2"/>
        <v>0.125</v>
      </c>
      <c r="E39" s="52">
        <f t="shared" si="3"/>
        <v>7.1027732215539902E-2</v>
      </c>
    </row>
    <row r="40" spans="1:10" x14ac:dyDescent="0.25">
      <c r="A40" s="73" t="s">
        <v>172</v>
      </c>
      <c r="B40" s="87">
        <v>0.127</v>
      </c>
      <c r="C40" s="87">
        <v>0.13100000000000001</v>
      </c>
      <c r="D40" s="103">
        <f t="shared" si="2"/>
        <v>0.129</v>
      </c>
      <c r="E40" s="52">
        <f t="shared" si="3"/>
        <v>7.9684557438794865E-2</v>
      </c>
    </row>
    <row r="41" spans="1:10" x14ac:dyDescent="0.25">
      <c r="A41" s="73" t="s">
        <v>179</v>
      </c>
      <c r="B41" s="87">
        <v>0.123</v>
      </c>
      <c r="C41" s="87">
        <v>0.13100000000000001</v>
      </c>
      <c r="D41" s="103">
        <f t="shared" si="2"/>
        <v>0.127</v>
      </c>
      <c r="E41" s="52">
        <f t="shared" si="3"/>
        <v>7.5356144827167376E-2</v>
      </c>
      <c r="J41" s="103"/>
    </row>
    <row r="42" spans="1:10" x14ac:dyDescent="0.25">
      <c r="A42" s="69" t="s">
        <v>150</v>
      </c>
      <c r="B42" s="84">
        <v>0.125</v>
      </c>
      <c r="C42" s="84">
        <v>0.128</v>
      </c>
      <c r="D42" s="103">
        <f t="shared" si="2"/>
        <v>0.1265</v>
      </c>
      <c r="E42" s="52">
        <f t="shared" si="3"/>
        <v>7.4274041674260508E-2</v>
      </c>
    </row>
    <row r="43" spans="1:10" x14ac:dyDescent="0.25">
      <c r="A43" s="69" t="s">
        <v>157</v>
      </c>
      <c r="B43" s="87">
        <v>0.125</v>
      </c>
      <c r="C43" s="87">
        <v>0.126</v>
      </c>
      <c r="D43" s="103">
        <f t="shared" si="2"/>
        <v>0.1255</v>
      </c>
      <c r="E43" s="52">
        <f t="shared" si="3"/>
        <v>7.210983536844677E-2</v>
      </c>
    </row>
    <row r="44" spans="1:10" x14ac:dyDescent="0.25">
      <c r="A44" s="69" t="s">
        <v>165</v>
      </c>
      <c r="B44" s="87">
        <v>0.124</v>
      </c>
      <c r="C44" s="87">
        <v>0.129</v>
      </c>
      <c r="D44" s="103">
        <f t="shared" si="2"/>
        <v>0.1265</v>
      </c>
      <c r="E44" s="52">
        <f t="shared" si="3"/>
        <v>7.4274041674260508E-2</v>
      </c>
    </row>
    <row r="45" spans="1:10" x14ac:dyDescent="0.25">
      <c r="A45" s="69" t="s">
        <v>173</v>
      </c>
      <c r="B45" s="87">
        <v>0.125</v>
      </c>
      <c r="C45" s="87">
        <v>0.13200000000000001</v>
      </c>
      <c r="D45" s="103">
        <f t="shared" si="2"/>
        <v>0.1285</v>
      </c>
      <c r="E45" s="52">
        <f t="shared" si="3"/>
        <v>7.8602454285887996E-2</v>
      </c>
    </row>
    <row r="46" spans="1:10" x14ac:dyDescent="0.25">
      <c r="A46" s="69" t="s">
        <v>180</v>
      </c>
      <c r="B46" s="87">
        <v>0.13800000000000001</v>
      </c>
      <c r="C46" s="87">
        <v>0.13500000000000001</v>
      </c>
      <c r="D46" s="103">
        <f t="shared" si="2"/>
        <v>0.13650000000000001</v>
      </c>
      <c r="E46" s="52">
        <f t="shared" si="3"/>
        <v>9.5916104732397936E-2</v>
      </c>
    </row>
    <row r="47" spans="1:10" x14ac:dyDescent="0.25">
      <c r="A47" s="70" t="s">
        <v>151</v>
      </c>
      <c r="B47" s="84">
        <v>0.13200000000000001</v>
      </c>
      <c r="C47" s="84">
        <v>0.13400000000000001</v>
      </c>
      <c r="D47" s="103">
        <f t="shared" si="2"/>
        <v>0.13300000000000001</v>
      </c>
      <c r="E47" s="52">
        <f t="shared" si="3"/>
        <v>8.8341382662049842E-2</v>
      </c>
    </row>
    <row r="48" spans="1:10" x14ac:dyDescent="0.25">
      <c r="A48" s="70" t="s">
        <v>158</v>
      </c>
      <c r="B48" s="87">
        <v>0.14000000000000001</v>
      </c>
      <c r="C48" s="87">
        <v>0.14799999999999999</v>
      </c>
      <c r="D48" s="103">
        <f t="shared" si="2"/>
        <v>0.14400000000000002</v>
      </c>
      <c r="E48" s="52">
        <f t="shared" si="3"/>
        <v>0.11214765202600101</v>
      </c>
    </row>
    <row r="49" spans="1:5" x14ac:dyDescent="0.25">
      <c r="A49" s="70" t="s">
        <v>166</v>
      </c>
      <c r="B49" s="87">
        <v>0.13500000000000001</v>
      </c>
      <c r="C49" s="87">
        <v>0.13900000000000001</v>
      </c>
      <c r="D49" s="103">
        <f t="shared" si="2"/>
        <v>0.13700000000000001</v>
      </c>
      <c r="E49" s="52">
        <f t="shared" si="3"/>
        <v>9.6998207885304805E-2</v>
      </c>
    </row>
    <row r="50" spans="1:5" x14ac:dyDescent="0.25">
      <c r="A50" s="70" t="s">
        <v>174</v>
      </c>
      <c r="B50" s="87">
        <v>0.11899999999999999</v>
      </c>
      <c r="C50" s="87">
        <v>0.121</v>
      </c>
      <c r="D50" s="103">
        <f t="shared" si="2"/>
        <v>0.12</v>
      </c>
      <c r="E50" s="52">
        <f t="shared" si="3"/>
        <v>6.020670068647118E-2</v>
      </c>
    </row>
    <row r="51" spans="1:5" x14ac:dyDescent="0.25">
      <c r="A51" s="70" t="s">
        <v>181</v>
      </c>
      <c r="B51" s="87">
        <v>0.129</v>
      </c>
      <c r="C51" s="87">
        <v>0.128</v>
      </c>
      <c r="D51" s="103">
        <f t="shared" si="2"/>
        <v>0.1285</v>
      </c>
      <c r="E51" s="52">
        <f t="shared" si="3"/>
        <v>7.8602454285887996E-2</v>
      </c>
    </row>
    <row r="52" spans="1:5" x14ac:dyDescent="0.25">
      <c r="A52" s="71" t="s">
        <v>152</v>
      </c>
      <c r="B52" s="84">
        <v>0.13600000000000001</v>
      </c>
      <c r="C52" s="85">
        <v>0.14399999999999999</v>
      </c>
      <c r="D52" s="103">
        <f t="shared" si="2"/>
        <v>0.14000000000000001</v>
      </c>
      <c r="E52" s="52">
        <f t="shared" si="3"/>
        <v>0.10349082680274603</v>
      </c>
    </row>
    <row r="53" spans="1:5" x14ac:dyDescent="0.25">
      <c r="A53" s="74" t="s">
        <v>159</v>
      </c>
      <c r="B53" s="87">
        <v>0.14000000000000001</v>
      </c>
      <c r="C53" s="88">
        <v>0.14399999999999999</v>
      </c>
      <c r="D53" s="103">
        <f t="shared" si="2"/>
        <v>0.14200000000000002</v>
      </c>
      <c r="E53" s="52">
        <f t="shared" si="3"/>
        <v>0.10781923941437352</v>
      </c>
    </row>
    <row r="54" spans="1:5" x14ac:dyDescent="0.25">
      <c r="A54" s="74" t="s">
        <v>167</v>
      </c>
      <c r="B54" s="87">
        <v>0.14000000000000001</v>
      </c>
      <c r="C54" s="88">
        <v>0.14299999999999999</v>
      </c>
      <c r="D54" s="103">
        <f t="shared" si="2"/>
        <v>0.14150000000000001</v>
      </c>
      <c r="E54" s="52">
        <f t="shared" si="3"/>
        <v>0.10673713626146665</v>
      </c>
    </row>
    <row r="55" spans="1:5" x14ac:dyDescent="0.25">
      <c r="A55" s="74" t="s">
        <v>175</v>
      </c>
      <c r="B55" s="87">
        <v>0.13300000000000001</v>
      </c>
      <c r="C55" s="88">
        <v>0.13700000000000001</v>
      </c>
      <c r="D55" s="103">
        <f t="shared" si="2"/>
        <v>0.13500000000000001</v>
      </c>
      <c r="E55" s="52">
        <f t="shared" si="3"/>
        <v>9.2669795273677316E-2</v>
      </c>
    </row>
    <row r="56" spans="1:5" x14ac:dyDescent="0.25">
      <c r="A56" s="74" t="s">
        <v>182</v>
      </c>
      <c r="B56" s="87">
        <v>0.14199999999999999</v>
      </c>
      <c r="C56" s="88">
        <v>0.14599999999999999</v>
      </c>
      <c r="D56" s="103">
        <f t="shared" si="2"/>
        <v>0.14399999999999999</v>
      </c>
      <c r="E56" s="52">
        <f t="shared" si="3"/>
        <v>0.11214765202600095</v>
      </c>
    </row>
    <row r="57" spans="1:5" x14ac:dyDescent="0.25">
      <c r="A57" s="75" t="s">
        <v>186</v>
      </c>
      <c r="B57" s="87">
        <v>0.13600000000000001</v>
      </c>
      <c r="C57" s="87">
        <v>0.14000000000000001</v>
      </c>
      <c r="D57" s="103">
        <f t="shared" si="2"/>
        <v>0.13800000000000001</v>
      </c>
      <c r="E57" s="52">
        <f t="shared" si="3"/>
        <v>9.9162414191118556E-2</v>
      </c>
    </row>
    <row r="58" spans="1:5" x14ac:dyDescent="0.25">
      <c r="A58" s="76" t="s">
        <v>195</v>
      </c>
      <c r="B58" s="87">
        <v>0.15</v>
      </c>
      <c r="C58" s="87">
        <v>0.152</v>
      </c>
      <c r="D58" s="103">
        <f t="shared" si="2"/>
        <v>0.151</v>
      </c>
      <c r="E58" s="52">
        <f t="shared" si="3"/>
        <v>0.12729709616669715</v>
      </c>
    </row>
    <row r="59" spans="1:5" x14ac:dyDescent="0.25">
      <c r="A59" s="76" t="s">
        <v>203</v>
      </c>
      <c r="B59" s="90">
        <v>0.13800000000000001</v>
      </c>
      <c r="C59" s="90">
        <v>0.14099999999999999</v>
      </c>
      <c r="D59" s="103">
        <f t="shared" si="2"/>
        <v>0.13950000000000001</v>
      </c>
      <c r="E59" s="52">
        <f t="shared" si="3"/>
        <v>0.10240872364983916</v>
      </c>
    </row>
    <row r="60" spans="1:5" x14ac:dyDescent="0.25">
      <c r="A60" s="76" t="s">
        <v>187</v>
      </c>
      <c r="B60" s="87">
        <v>0.13400000000000001</v>
      </c>
      <c r="C60" s="87">
        <v>0.13700000000000001</v>
      </c>
      <c r="D60" s="103">
        <f t="shared" si="2"/>
        <v>0.13550000000000001</v>
      </c>
      <c r="E60" s="52">
        <f t="shared" si="3"/>
        <v>9.3751898426584199E-2</v>
      </c>
    </row>
    <row r="61" spans="1:5" x14ac:dyDescent="0.25">
      <c r="A61" s="76" t="s">
        <v>197</v>
      </c>
      <c r="B61" s="87">
        <v>0.128</v>
      </c>
      <c r="C61" s="87">
        <v>0.13400000000000001</v>
      </c>
      <c r="D61" s="103">
        <f t="shared" si="2"/>
        <v>0.13100000000000001</v>
      </c>
      <c r="E61" s="52">
        <f t="shared" si="3"/>
        <v>8.4012970050422353E-2</v>
      </c>
    </row>
    <row r="62" spans="1:5" x14ac:dyDescent="0.25">
      <c r="A62" s="80" t="s">
        <v>198</v>
      </c>
      <c r="B62" s="90">
        <v>0.14499999999999999</v>
      </c>
      <c r="C62" s="90">
        <v>0.15</v>
      </c>
      <c r="D62" s="103">
        <f t="shared" si="2"/>
        <v>0.14749999999999999</v>
      </c>
      <c r="E62" s="52">
        <f t="shared" si="3"/>
        <v>0.11972237409634905</v>
      </c>
    </row>
    <row r="63" spans="1:5" x14ac:dyDescent="0.25">
      <c r="A63" s="77" t="s">
        <v>188</v>
      </c>
      <c r="B63" s="87">
        <v>0.13600000000000001</v>
      </c>
      <c r="C63" s="87">
        <v>0.13900000000000001</v>
      </c>
      <c r="D63" s="103">
        <f t="shared" si="2"/>
        <v>0.13750000000000001</v>
      </c>
      <c r="E63" s="52">
        <f t="shared" si="3"/>
        <v>9.8080311038211673E-2</v>
      </c>
    </row>
    <row r="64" spans="1:5" x14ac:dyDescent="0.25">
      <c r="A64" s="77" t="s">
        <v>190</v>
      </c>
      <c r="B64" s="87">
        <v>0.13600000000000001</v>
      </c>
      <c r="C64" s="87">
        <v>0.13700000000000001</v>
      </c>
      <c r="D64" s="103">
        <f t="shared" si="2"/>
        <v>0.13650000000000001</v>
      </c>
      <c r="E64" s="52">
        <f t="shared" si="3"/>
        <v>9.5916104732397936E-2</v>
      </c>
    </row>
    <row r="65" spans="1:5" x14ac:dyDescent="0.25">
      <c r="A65" s="77" t="s">
        <v>199</v>
      </c>
      <c r="B65" s="90">
        <v>0.13300000000000001</v>
      </c>
      <c r="C65" s="90">
        <v>0.13700000000000001</v>
      </c>
      <c r="D65" s="103">
        <f t="shared" si="2"/>
        <v>0.13500000000000001</v>
      </c>
      <c r="E65" s="52">
        <f t="shared" si="3"/>
        <v>9.2669795273677316E-2</v>
      </c>
    </row>
    <row r="66" spans="1:5" x14ac:dyDescent="0.25">
      <c r="A66" s="77" t="s">
        <v>189</v>
      </c>
      <c r="B66" s="87">
        <v>0.13300000000000001</v>
      </c>
      <c r="C66" s="87">
        <v>0.13600000000000001</v>
      </c>
      <c r="D66" s="103">
        <f t="shared" si="2"/>
        <v>0.13450000000000001</v>
      </c>
      <c r="E66" s="52">
        <f t="shared" si="3"/>
        <v>9.1587692120770448E-2</v>
      </c>
    </row>
    <row r="67" spans="1:5" x14ac:dyDescent="0.25">
      <c r="A67" s="79" t="s">
        <v>198</v>
      </c>
      <c r="B67" s="87">
        <v>0.13600000000000001</v>
      </c>
      <c r="C67" s="87">
        <v>0.13700000000000001</v>
      </c>
      <c r="D67" s="103">
        <f t="shared" si="2"/>
        <v>0.13650000000000001</v>
      </c>
      <c r="E67" s="52">
        <f t="shared" si="3"/>
        <v>9.5916104732397936E-2</v>
      </c>
    </row>
    <row r="68" spans="1:5" x14ac:dyDescent="0.25">
      <c r="A68" s="78" t="s">
        <v>188</v>
      </c>
      <c r="B68" s="90">
        <v>0.14199999999999999</v>
      </c>
      <c r="C68" s="90">
        <v>0.14399999999999999</v>
      </c>
      <c r="D68" s="103">
        <f t="shared" si="2"/>
        <v>0.14299999999999999</v>
      </c>
      <c r="E68" s="52">
        <f t="shared" si="3"/>
        <v>0.1099834457201872</v>
      </c>
    </row>
    <row r="69" spans="1:5" x14ac:dyDescent="0.25">
      <c r="A69" s="78" t="s">
        <v>190</v>
      </c>
      <c r="B69" s="87">
        <v>0.127</v>
      </c>
      <c r="C69" s="88">
        <v>0.13300000000000001</v>
      </c>
      <c r="D69" s="103">
        <f t="shared" si="2"/>
        <v>0.13</v>
      </c>
      <c r="E69" s="52">
        <f t="shared" si="3"/>
        <v>8.1848763744608602E-2</v>
      </c>
    </row>
    <row r="70" spans="1:5" x14ac:dyDescent="0.25">
      <c r="A70" s="78" t="s">
        <v>199</v>
      </c>
      <c r="B70" s="87">
        <v>0.14699999999999999</v>
      </c>
      <c r="C70" s="88">
        <v>0.153</v>
      </c>
      <c r="D70" s="103">
        <f t="shared" si="2"/>
        <v>0.15</v>
      </c>
      <c r="E70" s="52">
        <f t="shared" si="3"/>
        <v>0.12513288986088339</v>
      </c>
    </row>
    <row r="71" spans="1:5" x14ac:dyDescent="0.25">
      <c r="A71" s="78" t="s">
        <v>189</v>
      </c>
      <c r="B71" s="90">
        <v>0.14799999999999999</v>
      </c>
      <c r="C71" s="91">
        <v>0.14899999999999999</v>
      </c>
      <c r="D71" s="103">
        <f t="shared" si="2"/>
        <v>0.14849999999999999</v>
      </c>
      <c r="E71" s="52">
        <f t="shared" si="3"/>
        <v>0.12188658040216278</v>
      </c>
    </row>
    <row r="72" spans="1:5" x14ac:dyDescent="0.25">
      <c r="A72" s="46"/>
      <c r="B72" s="81"/>
      <c r="C72" s="81"/>
      <c r="D72" s="46"/>
      <c r="E72" s="46"/>
    </row>
    <row r="73" spans="1:5" x14ac:dyDescent="0.25">
      <c r="A73" s="46"/>
      <c r="B73" s="81"/>
      <c r="C73" s="81"/>
      <c r="D73" s="46"/>
      <c r="E73" s="46"/>
    </row>
    <row r="74" spans="1:5" x14ac:dyDescent="0.25">
      <c r="A74" s="46"/>
      <c r="B74" s="81"/>
      <c r="C74" s="81"/>
      <c r="D74" s="46"/>
      <c r="E74" s="46"/>
    </row>
    <row r="75" spans="1:5" x14ac:dyDescent="0.25">
      <c r="A75" s="46"/>
      <c r="B75" s="81"/>
      <c r="C75" s="81"/>
      <c r="D75" s="46"/>
      <c r="E75" s="46"/>
    </row>
    <row r="76" spans="1:5" x14ac:dyDescent="0.25">
      <c r="A76" s="46"/>
      <c r="B76" s="81"/>
      <c r="C76" s="81"/>
      <c r="D76" s="46"/>
      <c r="E76" s="46"/>
    </row>
    <row r="77" spans="1:5" x14ac:dyDescent="0.25">
      <c r="A77" s="46"/>
      <c r="B77" s="46"/>
      <c r="C77" s="46"/>
      <c r="D77" s="46"/>
      <c r="E77" s="46"/>
    </row>
    <row r="78" spans="1:5" x14ac:dyDescent="0.25">
      <c r="A78" s="46"/>
      <c r="B78" s="46"/>
      <c r="C78" s="46"/>
      <c r="D78" s="46"/>
      <c r="E78" s="4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Summary</vt:lpstr>
      <vt:lpstr>Cells</vt:lpstr>
      <vt:lpstr>layout 01-03</vt:lpstr>
      <vt:lpstr>tracer counts 01-03</vt:lpstr>
      <vt:lpstr>Raw data 01-03</vt:lpstr>
      <vt:lpstr>uptake 01-03</vt:lpstr>
      <vt:lpstr>BCA plate set-up</vt:lpstr>
      <vt:lpstr>Protein concentration</vt:lpstr>
      <vt:lpstr>'tracer counts 01-03'!_003644</vt:lpstr>
      <vt:lpstr>'tracer counts 01-03'!_003645_1</vt:lpstr>
      <vt:lpstr>'tracer counts 01-03'!_003646</vt:lpstr>
      <vt:lpstr>'tracer counts 01-03'!_003647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 Chen</dc:creator>
  <cp:lastModifiedBy>N.T.O.M. Dierichs</cp:lastModifiedBy>
  <cp:lastPrinted>2023-03-02T08:11:36Z</cp:lastPrinted>
  <dcterms:created xsi:type="dcterms:W3CDTF">2021-08-03T08:14:59Z</dcterms:created>
  <dcterms:modified xsi:type="dcterms:W3CDTF">2023-03-03T13:54:41Z</dcterms:modified>
</cp:coreProperties>
</file>