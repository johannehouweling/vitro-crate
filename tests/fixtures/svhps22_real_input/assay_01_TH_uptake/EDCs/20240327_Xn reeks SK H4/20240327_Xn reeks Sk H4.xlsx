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Z:\Nathalie\Experiments\2024\Uptake\20240327_Xn reeks SK H4\"/>
    </mc:Choice>
  </mc:AlternateContent>
  <bookViews>
    <workbookView xWindow="0" yWindow="0" windowWidth="28800" windowHeight="12300" activeTab="6"/>
  </bookViews>
  <sheets>
    <sheet name="Summary" sheetId="5" r:id="rId1"/>
    <sheet name="Cells" sheetId="6" r:id="rId2"/>
    <sheet name="layout 27-03" sheetId="8" r:id="rId3"/>
    <sheet name="tracer counts 27-03" sheetId="9" r:id="rId4"/>
    <sheet name="Raw data 27-03" sheetId="10" r:id="rId5"/>
    <sheet name="uptake 27-03" sheetId="11" r:id="rId6"/>
    <sheet name="BCA calculations" sheetId="12" r:id="rId7"/>
    <sheet name="Protein concentration" sheetId="13" r:id="rId8"/>
  </sheets>
  <definedNames>
    <definedName name="_003646" localSheetId="3">'tracer counts 27-03'!#REF!</definedName>
    <definedName name="_003647" localSheetId="3">'tracer counts 27-03'!#REF!</definedName>
    <definedName name="_003647_1" localSheetId="3">'tracer counts 27-03'!$A$1:$N$11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3" i="11" l="1"/>
  <c r="S33" i="11"/>
  <c r="S32" i="11"/>
  <c r="R32" i="11"/>
  <c r="R29" i="11"/>
  <c r="S29" i="11"/>
  <c r="R30" i="11"/>
  <c r="S30" i="11"/>
  <c r="R31" i="11"/>
  <c r="S31" i="11"/>
  <c r="S28" i="11"/>
  <c r="R28" i="11"/>
  <c r="R27" i="11"/>
  <c r="S27" i="11"/>
  <c r="S26" i="11"/>
  <c r="R26" i="11"/>
  <c r="R23" i="11"/>
  <c r="S23" i="11"/>
  <c r="R24" i="11"/>
  <c r="S24" i="11"/>
  <c r="R25" i="11"/>
  <c r="S25" i="11"/>
  <c r="S22" i="11"/>
  <c r="R22" i="11"/>
  <c r="R19" i="11"/>
  <c r="S19" i="11"/>
  <c r="S18" i="11"/>
  <c r="R18" i="11"/>
  <c r="R15" i="11"/>
  <c r="S15" i="11"/>
  <c r="R16" i="11"/>
  <c r="S16" i="11"/>
  <c r="R17" i="11"/>
  <c r="S17" i="11"/>
  <c r="S14" i="11"/>
  <c r="R14" i="11"/>
  <c r="R13" i="11"/>
  <c r="S13" i="11"/>
  <c r="S12" i="11"/>
  <c r="R12" i="11"/>
  <c r="R9" i="11"/>
  <c r="S9" i="11"/>
  <c r="R10" i="11"/>
  <c r="S10" i="11"/>
  <c r="R11" i="11"/>
  <c r="S11" i="11"/>
  <c r="S8" i="11"/>
  <c r="R8" i="11"/>
  <c r="K23" i="11"/>
  <c r="K24" i="11"/>
  <c r="P24" i="11" s="1"/>
  <c r="K25" i="11"/>
  <c r="K26" i="11"/>
  <c r="P26" i="11" s="1"/>
  <c r="K27" i="11"/>
  <c r="P27" i="11" s="1"/>
  <c r="K28" i="11"/>
  <c r="K29" i="11"/>
  <c r="O29" i="11" s="1"/>
  <c r="K30" i="11"/>
  <c r="K31" i="11"/>
  <c r="P31" i="11" s="1"/>
  <c r="K32" i="11"/>
  <c r="K33" i="11"/>
  <c r="P33" i="11" s="1"/>
  <c r="K22" i="11"/>
  <c r="N33" i="11"/>
  <c r="N32" i="11"/>
  <c r="P32" i="11"/>
  <c r="N31" i="11"/>
  <c r="N30" i="11"/>
  <c r="P30" i="11"/>
  <c r="P29" i="11"/>
  <c r="N29" i="11"/>
  <c r="N28" i="11"/>
  <c r="P28" i="11"/>
  <c r="O27" i="11"/>
  <c r="N27" i="11"/>
  <c r="N26" i="11"/>
  <c r="P25" i="11"/>
  <c r="O25" i="11"/>
  <c r="N25" i="11"/>
  <c r="N24" i="11"/>
  <c r="P23" i="11"/>
  <c r="O23" i="11"/>
  <c r="N23" i="11"/>
  <c r="N22" i="11"/>
  <c r="P22" i="11"/>
  <c r="O33" i="11" l="1"/>
  <c r="Q33" i="11" s="1"/>
  <c r="O31" i="11"/>
  <c r="Q31" i="11" s="1"/>
  <c r="Q23" i="11"/>
  <c r="Q25" i="11"/>
  <c r="Q27" i="11"/>
  <c r="Q29" i="11"/>
  <c r="O22" i="11"/>
  <c r="O24" i="11"/>
  <c r="O26" i="11"/>
  <c r="O28" i="11"/>
  <c r="O30" i="11"/>
  <c r="O32" i="11"/>
  <c r="G37" i="8"/>
  <c r="C25" i="8"/>
  <c r="C26" i="8"/>
  <c r="C27" i="8"/>
  <c r="C24" i="8"/>
  <c r="T27" i="11" l="1"/>
  <c r="U27" i="11"/>
  <c r="Q24" i="11"/>
  <c r="Q22" i="11"/>
  <c r="Q32" i="11"/>
  <c r="Q30" i="11"/>
  <c r="Q28" i="11"/>
  <c r="Q26" i="11"/>
  <c r="F12" i="11"/>
  <c r="G12" i="11" s="1"/>
  <c r="K12" i="11" s="1"/>
  <c r="U33" i="11" l="1"/>
  <c r="T33" i="11"/>
  <c r="U31" i="11"/>
  <c r="T31" i="11"/>
  <c r="U30" i="11"/>
  <c r="T30" i="11"/>
  <c r="U23" i="11"/>
  <c r="T23" i="11"/>
  <c r="U24" i="11"/>
  <c r="T24" i="11"/>
  <c r="U29" i="11"/>
  <c r="T29" i="11"/>
  <c r="U22" i="11"/>
  <c r="T22" i="11"/>
  <c r="U28" i="11"/>
  <c r="T28" i="11"/>
  <c r="U26" i="11"/>
  <c r="T26" i="11"/>
  <c r="U32" i="11"/>
  <c r="T32" i="11"/>
  <c r="U25" i="11"/>
  <c r="T25" i="11"/>
  <c r="B36" i="8"/>
  <c r="E36" i="8"/>
  <c r="C38" i="8"/>
  <c r="AR91" i="13" l="1"/>
  <c r="AS91" i="13" s="1"/>
  <c r="AS90" i="13"/>
  <c r="AR90" i="13"/>
  <c r="AR89" i="13"/>
  <c r="AS89" i="13" s="1"/>
  <c r="AR88" i="13"/>
  <c r="AS88" i="13" s="1"/>
  <c r="AS87" i="13"/>
  <c r="AR87" i="13"/>
  <c r="AK87" i="13"/>
  <c r="AL87" i="13" s="1"/>
  <c r="AR86" i="13"/>
  <c r="AS86" i="13" s="1"/>
  <c r="AL86" i="13"/>
  <c r="AK86" i="13"/>
  <c r="AR85" i="13"/>
  <c r="AS85" i="13" s="1"/>
  <c r="AK85" i="13"/>
  <c r="AL85" i="13" s="1"/>
  <c r="AS84" i="13"/>
  <c r="AR84" i="13"/>
  <c r="AK84" i="13"/>
  <c r="AL84" i="13" s="1"/>
  <c r="AR83" i="13"/>
  <c r="AS83" i="13" s="1"/>
  <c r="AL83" i="13"/>
  <c r="AK83" i="13"/>
  <c r="AR82" i="13"/>
  <c r="AS82" i="13" s="1"/>
  <c r="AK82" i="13"/>
  <c r="AL82" i="13" s="1"/>
  <c r="AS81" i="13"/>
  <c r="AR81" i="13"/>
  <c r="AK81" i="13"/>
  <c r="AL81" i="13" s="1"/>
  <c r="AR80" i="13"/>
  <c r="AS80" i="13" s="1"/>
  <c r="AL80" i="13"/>
  <c r="AK80" i="13"/>
  <c r="AR79" i="13"/>
  <c r="AS79" i="13" s="1"/>
  <c r="AK79" i="13"/>
  <c r="AL79" i="13" s="1"/>
  <c r="AS78" i="13"/>
  <c r="AR78" i="13"/>
  <c r="AK78" i="13"/>
  <c r="AL78" i="13" s="1"/>
  <c r="AR77" i="13"/>
  <c r="AS77" i="13" s="1"/>
  <c r="AL77" i="13"/>
  <c r="AK77" i="13"/>
  <c r="AR76" i="13"/>
  <c r="AS76" i="13" s="1"/>
  <c r="AK76" i="13"/>
  <c r="AL76" i="13" s="1"/>
  <c r="AS75" i="13"/>
  <c r="AR75" i="13"/>
  <c r="AK75" i="13"/>
  <c r="AL75" i="13" s="1"/>
  <c r="AR74" i="13"/>
  <c r="AS74" i="13" s="1"/>
  <c r="AL74" i="13"/>
  <c r="AK74" i="13"/>
  <c r="AR73" i="13"/>
  <c r="AS73" i="13" s="1"/>
  <c r="AK73" i="13"/>
  <c r="AL73" i="13" s="1"/>
  <c r="AS72" i="13"/>
  <c r="AR72" i="13"/>
  <c r="AK72" i="13"/>
  <c r="AL72" i="13" s="1"/>
  <c r="AR71" i="13"/>
  <c r="AS71" i="13" s="1"/>
  <c r="AL71" i="13"/>
  <c r="AK71" i="13"/>
  <c r="AR70" i="13"/>
  <c r="AS70" i="13" s="1"/>
  <c r="AK70" i="13"/>
  <c r="AL70" i="13" s="1"/>
  <c r="AS69" i="13"/>
  <c r="AR69" i="13"/>
  <c r="AK69" i="13"/>
  <c r="AL69" i="13" s="1"/>
  <c r="AR68" i="13"/>
  <c r="AS68" i="13" s="1"/>
  <c r="AL68" i="13"/>
  <c r="AK68" i="13"/>
  <c r="AR67" i="13"/>
  <c r="AS67" i="13" s="1"/>
  <c r="AK67" i="13"/>
  <c r="AL67" i="13" s="1"/>
  <c r="AS66" i="13"/>
  <c r="AR66" i="13"/>
  <c r="AK66" i="13"/>
  <c r="AL66" i="13" s="1"/>
  <c r="AR65" i="13"/>
  <c r="AS65" i="13" s="1"/>
  <c r="AL65" i="13"/>
  <c r="AK65" i="13"/>
  <c r="AR64" i="13"/>
  <c r="AS64" i="13" s="1"/>
  <c r="AK64" i="13"/>
  <c r="AL64" i="13" s="1"/>
  <c r="AS63" i="13"/>
  <c r="AR63" i="13"/>
  <c r="AK63" i="13"/>
  <c r="AL63" i="13" s="1"/>
  <c r="AR62" i="13"/>
  <c r="AS62" i="13" s="1"/>
  <c r="AL62" i="13"/>
  <c r="AK62" i="13"/>
  <c r="AR61" i="13"/>
  <c r="AS61" i="13" s="1"/>
  <c r="AK61" i="13"/>
  <c r="AL61" i="13" s="1"/>
  <c r="AS60" i="13"/>
  <c r="AR60" i="13"/>
  <c r="AK60" i="13"/>
  <c r="AL60" i="13" s="1"/>
  <c r="AR59" i="13"/>
  <c r="AS59" i="13" s="1"/>
  <c r="AL59" i="13"/>
  <c r="AK59" i="13"/>
  <c r="AR58" i="13"/>
  <c r="AS58" i="13" s="1"/>
  <c r="AK58" i="13"/>
  <c r="AL58" i="13" s="1"/>
  <c r="AS57" i="13"/>
  <c r="AR57" i="13"/>
  <c r="AK57" i="13"/>
  <c r="AL57" i="13" s="1"/>
  <c r="AR56" i="13"/>
  <c r="AS56" i="13" s="1"/>
  <c r="AL56" i="13"/>
  <c r="AK56" i="13"/>
  <c r="AB91" i="13"/>
  <c r="AC91" i="13" s="1"/>
  <c r="AB90" i="13"/>
  <c r="AC90" i="13" s="1"/>
  <c r="AB89" i="13"/>
  <c r="AC89" i="13" s="1"/>
  <c r="AB88" i="13"/>
  <c r="AC88" i="13" s="1"/>
  <c r="AB87" i="13"/>
  <c r="AC87" i="13" s="1"/>
  <c r="U87" i="13"/>
  <c r="V87" i="13" s="1"/>
  <c r="AB86" i="13"/>
  <c r="AC86" i="13" s="1"/>
  <c r="U86" i="13"/>
  <c r="V86" i="13" s="1"/>
  <c r="AB85" i="13"/>
  <c r="AC85" i="13" s="1"/>
  <c r="U85" i="13"/>
  <c r="V85" i="13" s="1"/>
  <c r="AB84" i="13"/>
  <c r="AC84" i="13" s="1"/>
  <c r="U84" i="13"/>
  <c r="V84" i="13" s="1"/>
  <c r="AB83" i="13"/>
  <c r="AC83" i="13" s="1"/>
  <c r="U83" i="13"/>
  <c r="V83" i="13" s="1"/>
  <c r="AB82" i="13"/>
  <c r="AC82" i="13" s="1"/>
  <c r="U82" i="13"/>
  <c r="V82" i="13" s="1"/>
  <c r="AB81" i="13"/>
  <c r="AC81" i="13" s="1"/>
  <c r="U81" i="13"/>
  <c r="V81" i="13" s="1"/>
  <c r="AB80" i="13"/>
  <c r="AC80" i="13" s="1"/>
  <c r="U80" i="13"/>
  <c r="V80" i="13" s="1"/>
  <c r="AB79" i="13"/>
  <c r="AC79" i="13" s="1"/>
  <c r="U79" i="13"/>
  <c r="V79" i="13" s="1"/>
  <c r="AB78" i="13"/>
  <c r="AC78" i="13" s="1"/>
  <c r="U78" i="13"/>
  <c r="V78" i="13" s="1"/>
  <c r="AB77" i="13"/>
  <c r="AC77" i="13" s="1"/>
  <c r="U77" i="13"/>
  <c r="V77" i="13" s="1"/>
  <c r="AB76" i="13"/>
  <c r="AC76" i="13" s="1"/>
  <c r="U76" i="13"/>
  <c r="V76" i="13" s="1"/>
  <c r="AB75" i="13"/>
  <c r="AC75" i="13" s="1"/>
  <c r="U75" i="13"/>
  <c r="V75" i="13" s="1"/>
  <c r="AB74" i="13"/>
  <c r="AC74" i="13" s="1"/>
  <c r="U74" i="13"/>
  <c r="V74" i="13" s="1"/>
  <c r="AB73" i="13"/>
  <c r="AC73" i="13" s="1"/>
  <c r="U73" i="13"/>
  <c r="V73" i="13" s="1"/>
  <c r="AB72" i="13"/>
  <c r="AC72" i="13" s="1"/>
  <c r="U72" i="13"/>
  <c r="V72" i="13" s="1"/>
  <c r="AB71" i="13"/>
  <c r="AC71" i="13" s="1"/>
  <c r="U71" i="13"/>
  <c r="V71" i="13" s="1"/>
  <c r="AB70" i="13"/>
  <c r="AC70" i="13" s="1"/>
  <c r="U70" i="13"/>
  <c r="V70" i="13" s="1"/>
  <c r="AB69" i="13"/>
  <c r="AC69" i="13" s="1"/>
  <c r="U69" i="13"/>
  <c r="V69" i="13" s="1"/>
  <c r="AB68" i="13"/>
  <c r="AC68" i="13" s="1"/>
  <c r="U68" i="13"/>
  <c r="V68" i="13" s="1"/>
  <c r="AB67" i="13"/>
  <c r="AC67" i="13" s="1"/>
  <c r="U67" i="13"/>
  <c r="V67" i="13" s="1"/>
  <c r="AB66" i="13"/>
  <c r="AC66" i="13" s="1"/>
  <c r="U66" i="13"/>
  <c r="V66" i="13" s="1"/>
  <c r="AB65" i="13"/>
  <c r="AC65" i="13" s="1"/>
  <c r="U65" i="13"/>
  <c r="V65" i="13" s="1"/>
  <c r="AB64" i="13"/>
  <c r="AC64" i="13" s="1"/>
  <c r="U64" i="13"/>
  <c r="V64" i="13" s="1"/>
  <c r="AB63" i="13"/>
  <c r="AC63" i="13" s="1"/>
  <c r="U63" i="13"/>
  <c r="V63" i="13" s="1"/>
  <c r="AB62" i="13"/>
  <c r="AC62" i="13" s="1"/>
  <c r="U62" i="13"/>
  <c r="V62" i="13" s="1"/>
  <c r="AB61" i="13"/>
  <c r="AC61" i="13" s="1"/>
  <c r="U61" i="13"/>
  <c r="V61" i="13" s="1"/>
  <c r="AB60" i="13"/>
  <c r="AC60" i="13" s="1"/>
  <c r="U60" i="13"/>
  <c r="V60" i="13" s="1"/>
  <c r="AB59" i="13"/>
  <c r="AC59" i="13" s="1"/>
  <c r="U59" i="13"/>
  <c r="V59" i="13" s="1"/>
  <c r="AB58" i="13"/>
  <c r="AC58" i="13" s="1"/>
  <c r="U58" i="13"/>
  <c r="V58" i="13" s="1"/>
  <c r="AB57" i="13"/>
  <c r="AC57" i="13" s="1"/>
  <c r="U57" i="13"/>
  <c r="V57" i="13" s="1"/>
  <c r="AB56" i="13"/>
  <c r="AC56" i="13" s="1"/>
  <c r="U56" i="13"/>
  <c r="V56" i="13" s="1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AJ47" i="13"/>
  <c r="AJ46" i="13"/>
  <c r="AJ45" i="13"/>
  <c r="AJ44" i="13"/>
  <c r="AJ43" i="13"/>
  <c r="AJ42" i="13"/>
  <c r="AJ41" i="13"/>
  <c r="AJ40" i="13"/>
  <c r="AM52" i="13" s="1"/>
  <c r="T47" i="13"/>
  <c r="T46" i="13"/>
  <c r="T45" i="13"/>
  <c r="T44" i="13"/>
  <c r="T43" i="13"/>
  <c r="T42" i="13"/>
  <c r="T41" i="13"/>
  <c r="T40" i="13"/>
  <c r="W52" i="13" s="1"/>
  <c r="D46" i="13"/>
  <c r="D45" i="13"/>
  <c r="D44" i="13"/>
  <c r="D43" i="13"/>
  <c r="D42" i="13"/>
  <c r="D41" i="13"/>
  <c r="D40" i="13"/>
  <c r="D39" i="13"/>
  <c r="G50" i="13" s="1"/>
  <c r="N17" i="11"/>
  <c r="N18" i="11"/>
  <c r="N19" i="11"/>
  <c r="F14" i="11"/>
  <c r="G14" i="11" s="1"/>
  <c r="K14" i="11" s="1"/>
  <c r="F15" i="11"/>
  <c r="G15" i="11" s="1"/>
  <c r="K15" i="11" s="1"/>
  <c r="F16" i="11"/>
  <c r="G16" i="11" s="1"/>
  <c r="K16" i="11" s="1"/>
  <c r="F17" i="11"/>
  <c r="G17" i="11" s="1"/>
  <c r="K17" i="11" s="1"/>
  <c r="F18" i="11"/>
  <c r="G18" i="11" s="1"/>
  <c r="K18" i="11" s="1"/>
  <c r="F19" i="11"/>
  <c r="G19" i="11" s="1"/>
  <c r="K19" i="11" s="1"/>
  <c r="G51" i="13" l="1"/>
  <c r="AM51" i="13"/>
  <c r="W51" i="13"/>
  <c r="O19" i="11"/>
  <c r="P19" i="11"/>
  <c r="O18" i="11"/>
  <c r="P18" i="11"/>
  <c r="O17" i="11"/>
  <c r="P17" i="11"/>
  <c r="P16" i="11"/>
  <c r="O16" i="11"/>
  <c r="O15" i="11"/>
  <c r="P15" i="11"/>
  <c r="P14" i="11"/>
  <c r="O14" i="11"/>
  <c r="J33" i="8"/>
  <c r="Q14" i="11" l="1"/>
  <c r="Q19" i="11"/>
  <c r="Q18" i="11"/>
  <c r="Q17" i="11"/>
  <c r="Q16" i="11"/>
  <c r="Q15" i="11"/>
  <c r="AJ24" i="13"/>
  <c r="AJ25" i="13"/>
  <c r="AJ26" i="13"/>
  <c r="AM36" i="13" s="1"/>
  <c r="AJ27" i="13"/>
  <c r="AJ28" i="13"/>
  <c r="AJ29" i="13"/>
  <c r="AJ30" i="13"/>
  <c r="AJ31" i="13"/>
  <c r="T31" i="13"/>
  <c r="T30" i="13"/>
  <c r="T29" i="13"/>
  <c r="T28" i="13"/>
  <c r="T27" i="13"/>
  <c r="T26" i="13"/>
  <c r="T25" i="13"/>
  <c r="T24" i="13"/>
  <c r="W35" i="13" l="1"/>
  <c r="W36" i="13"/>
  <c r="AM35" i="13"/>
  <c r="D4" i="12"/>
  <c r="E86" i="13"/>
  <c r="E87" i="13"/>
  <c r="E88" i="13"/>
  <c r="E79" i="13"/>
  <c r="E80" i="13"/>
  <c r="E81" i="13"/>
  <c r="E82" i="13"/>
  <c r="E83" i="13"/>
  <c r="E84" i="13"/>
  <c r="E85" i="13"/>
  <c r="T18" i="11" l="1"/>
  <c r="T17" i="11"/>
  <c r="U17" i="11"/>
  <c r="T19" i="11"/>
  <c r="U19" i="11"/>
  <c r="U18" i="11"/>
  <c r="N9" i="11"/>
  <c r="N10" i="11"/>
  <c r="N11" i="11"/>
  <c r="N12" i="11"/>
  <c r="N13" i="11"/>
  <c r="N14" i="11"/>
  <c r="N15" i="11"/>
  <c r="N16" i="11"/>
  <c r="N8" i="11"/>
  <c r="F9" i="11"/>
  <c r="G9" i="11" s="1"/>
  <c r="K9" i="11" s="1"/>
  <c r="F10" i="11"/>
  <c r="G10" i="11" s="1"/>
  <c r="K10" i="11" s="1"/>
  <c r="F11" i="11"/>
  <c r="G11" i="11" s="1"/>
  <c r="K11" i="11" s="1"/>
  <c r="F13" i="11"/>
  <c r="G13" i="11" s="1"/>
  <c r="K13" i="11" s="1"/>
  <c r="F8" i="11"/>
  <c r="G8" i="11" s="1"/>
  <c r="K8" i="11" s="1"/>
  <c r="O13" i="11" l="1"/>
  <c r="P13" i="11"/>
  <c r="P12" i="11"/>
  <c r="O12" i="11"/>
  <c r="O11" i="11"/>
  <c r="P11" i="11"/>
  <c r="P10" i="11"/>
  <c r="O10" i="11"/>
  <c r="Q13" i="11" l="1"/>
  <c r="P8" i="11"/>
  <c r="Q12" i="11"/>
  <c r="Q11" i="11"/>
  <c r="Q10" i="11"/>
  <c r="P9" i="11"/>
  <c r="O9" i="11"/>
  <c r="O8" i="11"/>
  <c r="T8" i="11" s="1"/>
  <c r="T9" i="11" l="1"/>
  <c r="Q9" i="11"/>
  <c r="T12" i="11"/>
  <c r="U8" i="11"/>
  <c r="T13" i="11"/>
  <c r="Q8" i="11"/>
  <c r="U16" i="11"/>
  <c r="U13" i="11" l="1"/>
  <c r="U12" i="11"/>
  <c r="T10" i="11"/>
  <c r="U11" i="11"/>
  <c r="U9" i="11"/>
  <c r="T16" i="11"/>
  <c r="U10" i="11"/>
  <c r="T11" i="11"/>
  <c r="U14" i="11"/>
  <c r="T15" i="11"/>
  <c r="T14" i="11"/>
  <c r="U15" i="11"/>
  <c r="G35" i="8"/>
  <c r="N27" i="8" l="1"/>
  <c r="O27" i="8" s="1"/>
  <c r="N26" i="8"/>
  <c r="O26" i="8" s="1"/>
  <c r="N25" i="8"/>
  <c r="O25" i="8" s="1"/>
  <c r="N24" i="8"/>
  <c r="O24" i="8" s="1"/>
  <c r="F25" i="8"/>
  <c r="G25" i="8" s="1"/>
  <c r="F26" i="8"/>
  <c r="G26" i="8" s="1"/>
  <c r="F27" i="8"/>
  <c r="G27" i="8" s="1"/>
  <c r="F24" i="8"/>
  <c r="G24" i="8" s="1"/>
  <c r="K27" i="8" l="1"/>
  <c r="K26" i="8"/>
  <c r="K25" i="8"/>
  <c r="K24" i="8"/>
  <c r="E40" i="8" l="1"/>
  <c r="E41" i="8" l="1"/>
  <c r="D8" i="12" l="1"/>
  <c r="D9" i="12" s="1"/>
  <c r="E78" i="13" l="1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D30" i="13"/>
  <c r="D29" i="13"/>
  <c r="D28" i="13"/>
  <c r="D27" i="13"/>
  <c r="D26" i="13"/>
  <c r="D25" i="13"/>
  <c r="D24" i="13"/>
  <c r="D23" i="13"/>
  <c r="D10" i="12"/>
  <c r="F7" i="11"/>
  <c r="G7" i="11" s="1"/>
  <c r="F6" i="11"/>
  <c r="G6" i="11" s="1"/>
  <c r="B40" i="8"/>
  <c r="B42" i="8" s="1"/>
  <c r="B41" i="8"/>
  <c r="E42" i="8"/>
  <c r="G34" i="13" l="1"/>
  <c r="F24" i="13" s="1"/>
  <c r="G35" i="13"/>
  <c r="AL41" i="13" l="1"/>
  <c r="F45" i="13"/>
  <c r="V41" i="13"/>
  <c r="AL42" i="13"/>
  <c r="V45" i="13"/>
  <c r="AL44" i="13"/>
  <c r="V46" i="13"/>
  <c r="V42" i="13"/>
  <c r="F43" i="13"/>
  <c r="AL46" i="13"/>
  <c r="AL45" i="13"/>
  <c r="F44" i="13"/>
  <c r="M91" i="13"/>
  <c r="M82" i="13"/>
  <c r="M64" i="13"/>
  <c r="M85" i="13"/>
  <c r="M76" i="13"/>
  <c r="M67" i="13"/>
  <c r="M58" i="13"/>
  <c r="M73" i="13"/>
  <c r="M70" i="13"/>
  <c r="M61" i="13"/>
  <c r="E41" i="13"/>
  <c r="M87" i="13"/>
  <c r="M92" i="13"/>
  <c r="M84" i="13"/>
  <c r="M89" i="13"/>
  <c r="AK41" i="13"/>
  <c r="U46" i="13"/>
  <c r="M88" i="13"/>
  <c r="M79" i="13"/>
  <c r="E43" i="13"/>
  <c r="U43" i="13"/>
  <c r="U45" i="13"/>
  <c r="AK46" i="13"/>
  <c r="M78" i="13"/>
  <c r="AK43" i="13"/>
  <c r="E42" i="13"/>
  <c r="E45" i="13"/>
  <c r="M59" i="13"/>
  <c r="AK45" i="13"/>
  <c r="E40" i="13"/>
  <c r="M65" i="13"/>
  <c r="M57" i="13"/>
  <c r="M62" i="13"/>
  <c r="M81" i="13"/>
  <c r="M68" i="13"/>
  <c r="E44" i="13"/>
  <c r="AK42" i="13"/>
  <c r="M60" i="13"/>
  <c r="M74" i="13"/>
  <c r="M66" i="13"/>
  <c r="M71" i="13"/>
  <c r="M90" i="13"/>
  <c r="M77" i="13"/>
  <c r="U42" i="13"/>
  <c r="M63" i="13"/>
  <c r="M69" i="13"/>
  <c r="M83" i="13"/>
  <c r="M75" i="13"/>
  <c r="M80" i="13"/>
  <c r="M86" i="13"/>
  <c r="U41" i="13"/>
  <c r="U44" i="13"/>
  <c r="AK44" i="13"/>
  <c r="M72" i="13"/>
  <c r="F41" i="13"/>
  <c r="AL43" i="13"/>
  <c r="F42" i="13"/>
  <c r="V43" i="13"/>
  <c r="V44" i="13"/>
  <c r="F40" i="13"/>
  <c r="AL25" i="13"/>
  <c r="V28" i="13"/>
  <c r="AL28" i="13"/>
  <c r="V26" i="13"/>
  <c r="AL26" i="13"/>
  <c r="AL30" i="13"/>
  <c r="V27" i="13"/>
  <c r="V30" i="13"/>
  <c r="AK29" i="13"/>
  <c r="AK27" i="13"/>
  <c r="U27" i="13"/>
  <c r="F86" i="13"/>
  <c r="U29" i="13"/>
  <c r="U26" i="13"/>
  <c r="AK28" i="13"/>
  <c r="AK26" i="13"/>
  <c r="U28" i="13"/>
  <c r="F87" i="13"/>
  <c r="U30" i="13"/>
  <c r="AK25" i="13"/>
  <c r="F88" i="13"/>
  <c r="AK30" i="13"/>
  <c r="U25" i="13"/>
  <c r="V29" i="13"/>
  <c r="AL27" i="13"/>
  <c r="V25" i="13"/>
  <c r="AL29" i="13"/>
  <c r="F85" i="13"/>
  <c r="F82" i="13"/>
  <c r="F80" i="13"/>
  <c r="F83" i="13"/>
  <c r="F79" i="13"/>
  <c r="F81" i="13"/>
  <c r="F84" i="13"/>
  <c r="E24" i="13"/>
  <c r="F25" i="13"/>
  <c r="F29" i="13"/>
  <c r="F26" i="13"/>
  <c r="F27" i="13"/>
  <c r="F28" i="13"/>
  <c r="F74" i="13"/>
  <c r="F68" i="13"/>
  <c r="F58" i="13"/>
  <c r="F59" i="13"/>
  <c r="F75" i="13"/>
  <c r="F77" i="13"/>
  <c r="F71" i="13"/>
  <c r="F61" i="13"/>
  <c r="F62" i="13"/>
  <c r="F78" i="13"/>
  <c r="F73" i="13"/>
  <c r="F64" i="13"/>
  <c r="F57" i="13"/>
  <c r="E29" i="13"/>
  <c r="E26" i="13"/>
  <c r="F76" i="13"/>
  <c r="F66" i="13"/>
  <c r="F60" i="13"/>
  <c r="F67" i="13"/>
  <c r="F69" i="13"/>
  <c r="F63" i="13"/>
  <c r="E28" i="13"/>
  <c r="E25" i="13"/>
  <c r="F70" i="13"/>
  <c r="F72" i="13"/>
  <c r="F65" i="13"/>
  <c r="E27" i="13"/>
</calcChain>
</file>

<file path=xl/connections.xml><?xml version="1.0" encoding="utf-8"?>
<connections xmlns="http://schemas.openxmlformats.org/spreadsheetml/2006/main">
  <connection id="1" name="00364711" type="6" refreshedVersion="6" background="1" saveData="1">
    <textPr codePage="437" sourceFile="D:\Wizard transferr\2022-08-03 H4 MO3.13 uptake\003647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<sst xmlns="http://schemas.openxmlformats.org/spreadsheetml/2006/main" count="802" uniqueCount="207">
  <si>
    <t>cpm average</t>
  </si>
  <si>
    <t>cpm (375µl)</t>
  </si>
  <si>
    <t>Name</t>
  </si>
  <si>
    <t>Date</t>
  </si>
  <si>
    <t>Cell type</t>
  </si>
  <si>
    <t>Short description</t>
  </si>
  <si>
    <t>Transporter constructs</t>
  </si>
  <si>
    <t>Substrate</t>
  </si>
  <si>
    <t>Inhibitors</t>
  </si>
  <si>
    <t>Uptake buffer</t>
  </si>
  <si>
    <t>Protocol</t>
  </si>
  <si>
    <t>Growth medium</t>
  </si>
  <si>
    <t xml:space="preserve">Passage number </t>
  </si>
  <si>
    <t>Incubation buffer</t>
  </si>
  <si>
    <t>Incubation volume (ul)</t>
  </si>
  <si>
    <t>cpm per sample</t>
  </si>
  <si>
    <t>Incubation time(s) (min)</t>
  </si>
  <si>
    <t># samples</t>
  </si>
  <si>
    <t>Err factor</t>
  </si>
  <si>
    <t>ul T4 stock</t>
  </si>
  <si>
    <t>Total volume buffer (ml)</t>
  </si>
  <si>
    <t>Wash buffer</t>
  </si>
  <si>
    <t>Lysis buffer</t>
  </si>
  <si>
    <t>0.1 M NaOH</t>
  </si>
  <si>
    <t>avg %uptake</t>
  </si>
  <si>
    <t>std %uptake</t>
  </si>
  <si>
    <t>cpm T4 stock/ul</t>
  </si>
  <si>
    <t>none</t>
  </si>
  <si>
    <t>1 nM T3 or T4</t>
  </si>
  <si>
    <t>DPBS + 0.1% glucose/0.1% BSA</t>
  </si>
  <si>
    <t>DMEM/F12 + 9% FBS + P/S</t>
  </si>
  <si>
    <t>Centrifuge 5' 1500 rpm, remove medium, take up cells in 10 ml growth medium</t>
  </si>
  <si>
    <t>Trypsinize with 1 ml trypsin ~xx min</t>
  </si>
  <si>
    <t>quenche with 10 ml growth medium</t>
  </si>
  <si>
    <t>DPBS + 0.1% glucose0.1% BSA</t>
  </si>
  <si>
    <t>T3</t>
  </si>
  <si>
    <t>T4</t>
  </si>
  <si>
    <t>ul cold T4 stock (1 uM)</t>
  </si>
  <si>
    <t>cpm T3 stock/ul</t>
  </si>
  <si>
    <t>ul T3 stock</t>
  </si>
  <si>
    <t>ul cold T3 stock (1 uM)</t>
  </si>
  <si>
    <t>Plate 500 per well</t>
  </si>
  <si>
    <t>Without BSA</t>
  </si>
  <si>
    <t>Input</t>
  </si>
  <si>
    <t>375 ul mix</t>
  </si>
  <si>
    <t>T3 no BSA</t>
  </si>
  <si>
    <t>T4 no BSA</t>
  </si>
  <si>
    <t>Cell count</t>
  </si>
  <si>
    <t xml:space="preserve">Need </t>
  </si>
  <si>
    <t>Dilute</t>
  </si>
  <si>
    <t>Plate</t>
  </si>
  <si>
    <t>500 ul per well</t>
  </si>
  <si>
    <t>Protocol ID</t>
  </si>
  <si>
    <t>Protocol name</t>
  </si>
  <si>
    <t>Measurement date &amp; time</t>
  </si>
  <si>
    <t>Completion status</t>
  </si>
  <si>
    <t>Run ID</t>
  </si>
  <si>
    <t>Rack</t>
  </si>
  <si>
    <t>Det</t>
  </si>
  <si>
    <t>Pos</t>
  </si>
  <si>
    <t>Time</t>
  </si>
  <si>
    <t>Sample code</t>
  </si>
  <si>
    <t>I-125 Counts</t>
  </si>
  <si>
    <t>I-125 CPM</t>
  </si>
  <si>
    <t>I-125 Error %</t>
  </si>
  <si>
    <t>I-125 Info</t>
  </si>
  <si>
    <t>T3 - BSA</t>
  </si>
  <si>
    <t>T4 -BSA</t>
  </si>
  <si>
    <t>75 ul tracer mix</t>
  </si>
  <si>
    <t>good</t>
  </si>
  <si>
    <t>%uptake 1 tov DMSO</t>
  </si>
  <si>
    <t>%uptake 2 tov DMSO</t>
  </si>
  <si>
    <t>Compound</t>
  </si>
  <si>
    <t>Sily</t>
  </si>
  <si>
    <t>pak</t>
  </si>
  <si>
    <t>DPBS + 0.1% glucose/0% BSA</t>
  </si>
  <si>
    <t>uL nodig</t>
  </si>
  <si>
    <t>Plate 50000 cells per well in 24 wells plates:</t>
  </si>
  <si>
    <t>Dilute cells in medium to 100000 cells per ml</t>
  </si>
  <si>
    <t>H4</t>
  </si>
  <si>
    <t>MO3.13</t>
  </si>
  <si>
    <t>Nathalie</t>
  </si>
  <si>
    <t>Samples from curve:</t>
  </si>
  <si>
    <t>Samples from assay:</t>
  </si>
  <si>
    <t>Total:</t>
  </si>
  <si>
    <t xml:space="preserve">Make extra mix: </t>
  </si>
  <si>
    <t>Total volume needed:</t>
  </si>
  <si>
    <t>ml</t>
  </si>
  <si>
    <t>Proceed according protocol:</t>
  </si>
  <si>
    <t>in NaOH</t>
  </si>
  <si>
    <t>5. Calculate the amount of protein (manually standard curve and all samples minus blanc) remembering to correct your samples for dilution giving amount of protein in mg/ml</t>
  </si>
  <si>
    <t xml:space="preserve">* This can be done before hand and be alliquoted, freezing and thawing causes degradation of the protein by NaOH. </t>
  </si>
  <si>
    <t xml:space="preserve">   Make curve in 0.1M NaOH, PBS or H2O but it should always be similar to the liquid your sample is in.</t>
  </si>
  <si>
    <t>concentration curve</t>
  </si>
  <si>
    <t>nu 2, 1.5, 1 0.75, 0.5, 0.25, 0.125, 0 mg/ml</t>
  </si>
  <si>
    <t>A</t>
  </si>
  <si>
    <t>BSA 2 mg/mL</t>
  </si>
  <si>
    <t>B</t>
  </si>
  <si>
    <t>BSA 1.5 mg/mL</t>
  </si>
  <si>
    <t>BSA 1 mg/mL</t>
  </si>
  <si>
    <t>BSA 0.75 mg/mL</t>
  </si>
  <si>
    <t>BSA 0.5 mg/mL</t>
  </si>
  <si>
    <t>BSA 0.25 mg/mL</t>
  </si>
  <si>
    <t>BSA 0.125 mg/mL</t>
  </si>
  <si>
    <t>BSA 0 mg/mL</t>
  </si>
  <si>
    <t>Standard curve</t>
  </si>
  <si>
    <t>mg/ml BSA</t>
  </si>
  <si>
    <t>Average</t>
  </si>
  <si>
    <t>Back calculation</t>
  </si>
  <si>
    <t xml:space="preserve"> </t>
  </si>
  <si>
    <t>Protein concentration in sample</t>
  </si>
  <si>
    <t>Conc. (mg/ml)</t>
  </si>
  <si>
    <t>BCA mix</t>
  </si>
  <si>
    <t>Reagens (1:50 conc):</t>
  </si>
  <si>
    <t>BCA (big bottle)</t>
  </si>
  <si>
    <t>slope/helling</t>
  </si>
  <si>
    <t>intercept</t>
  </si>
  <si>
    <t>cpm 5 ul T4 stock</t>
  </si>
  <si>
    <t>= not included</t>
  </si>
  <si>
    <t>Per cellijn</t>
  </si>
  <si>
    <t>BSP 10</t>
  </si>
  <si>
    <t>DMSO 0.5%</t>
  </si>
  <si>
    <t>DMSO 1%</t>
  </si>
  <si>
    <t>Aparte buizen gemaakt met voorgemaakte incubatiemix en daaraan de compounds toegevoegd (1:100 of 1:200)</t>
  </si>
  <si>
    <t>SILYCHRISTIN</t>
  </si>
  <si>
    <t>DILUTION</t>
  </si>
  <si>
    <t>uL compound</t>
  </si>
  <si>
    <t>uL medium</t>
  </si>
  <si>
    <t>wells</t>
  </si>
  <si>
    <t>SILY</t>
  </si>
  <si>
    <t>INCUBATIEMIXEN</t>
  </si>
  <si>
    <t>SKNAS</t>
  </si>
  <si>
    <t>10 µM BSP</t>
  </si>
  <si>
    <t>30 µM BSP</t>
  </si>
  <si>
    <t>100 µM BSP</t>
  </si>
  <si>
    <t>300 µM BSP</t>
  </si>
  <si>
    <t>100 µM IOP</t>
  </si>
  <si>
    <t>1 µM NH3</t>
  </si>
  <si>
    <t>0.5% DMSO</t>
  </si>
  <si>
    <t>1% DMSO</t>
  </si>
  <si>
    <t>10 µM silychristin</t>
  </si>
  <si>
    <t>Tracermix</t>
  </si>
  <si>
    <t>cpm 1 cporrected</t>
  </si>
  <si>
    <t>average cpm corrected</t>
  </si>
  <si>
    <t>cpm 1 (raw)</t>
  </si>
  <si>
    <t>cpm 2 (raw)</t>
  </si>
  <si>
    <t>cpm average (raw)</t>
  </si>
  <si>
    <t>cpm 2 corrected</t>
  </si>
  <si>
    <t>T3 sample 1</t>
  </si>
  <si>
    <t>T3 Sample 2</t>
  </si>
  <si>
    <t>T4 Sample 1</t>
  </si>
  <si>
    <t>T4 Sample 2</t>
  </si>
  <si>
    <t>1. Make standard curve*: 2 - 1.5 - 1 - 0.75 - 0.5 - 0.25 - 0.125 - 0  0 mg/ml BSA.</t>
  </si>
  <si>
    <t xml:space="preserve">2. Dilute 50Xreagens to a 1X solution  </t>
  </si>
  <si>
    <t>3. Pipette 10 uL of your samples and standards in a 96 well ELISA plate.</t>
  </si>
  <si>
    <r>
      <t xml:space="preserve">4. Add 200µl BCA reagens, wait 30 minutes at 37 degrees in de </t>
    </r>
    <r>
      <rPr>
        <b/>
        <sz val="11"/>
        <color theme="1"/>
        <rFont val="Calibri"/>
        <family val="2"/>
        <scheme val="minor"/>
      </rPr>
      <t>DARK</t>
    </r>
    <r>
      <rPr>
        <sz val="11"/>
        <color theme="1"/>
        <rFont val="Calibri"/>
        <family val="2"/>
        <scheme val="minor"/>
      </rPr>
      <t xml:space="preserve"> and read the plate at nm</t>
    </r>
  </si>
  <si>
    <t>T3 sample 2</t>
  </si>
  <si>
    <t>T4 sample 1</t>
  </si>
  <si>
    <t>T4 sample 2</t>
  </si>
  <si>
    <t>BCA plate readout MO</t>
  </si>
  <si>
    <t>BCA plate readout SK</t>
  </si>
  <si>
    <t>CP 10</t>
  </si>
  <si>
    <t>CP 0.1</t>
  </si>
  <si>
    <t>CP 1</t>
  </si>
  <si>
    <t>CP 20</t>
  </si>
  <si>
    <t>TBBPA 0.3</t>
  </si>
  <si>
    <t>TBBPA 1</t>
  </si>
  <si>
    <t>TBBPA 3</t>
  </si>
  <si>
    <t>TBBPA 10</t>
  </si>
  <si>
    <t>42.5 ml nodig</t>
  </si>
  <si>
    <t>Etc.</t>
  </si>
  <si>
    <t>Per celtype</t>
  </si>
  <si>
    <t>cpm 1</t>
  </si>
  <si>
    <t>cpm 2</t>
  </si>
  <si>
    <t>BCA plate readout H4 1</t>
  </si>
  <si>
    <t>BCA plate readout H4 2</t>
  </si>
  <si>
    <t>Standard curve 1</t>
  </si>
  <si>
    <t>P22, P26, P21</t>
  </si>
  <si>
    <t>2x T-75 flasks</t>
  </si>
  <si>
    <t>grow cells in T75 flasks</t>
  </si>
  <si>
    <t>004651.csv</t>
  </si>
  <si>
    <t>21/3/2024</t>
  </si>
  <si>
    <r>
      <t>18.05x10</t>
    </r>
    <r>
      <rPr>
        <b/>
        <vertAlign val="super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 xml:space="preserve"> viable cells per ml</t>
    </r>
  </si>
  <si>
    <r>
      <t>4.0x10</t>
    </r>
    <r>
      <rPr>
        <vertAlign val="superscript"/>
        <sz val="11"/>
        <color theme="1"/>
        <rFont val="Calibri"/>
        <family val="2"/>
        <scheme val="minor"/>
      </rPr>
      <t xml:space="preserve">6 </t>
    </r>
    <r>
      <rPr>
        <sz val="11"/>
        <color theme="1"/>
        <rFont val="Calibri"/>
        <family val="2"/>
        <scheme val="minor"/>
      </rPr>
      <t>total cells needed in 40 mL</t>
    </r>
  </si>
  <si>
    <t xml:space="preserve">ml cell suspension </t>
  </si>
  <si>
    <r>
      <t>15.2x10</t>
    </r>
    <r>
      <rPr>
        <b/>
        <vertAlign val="super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 xml:space="preserve"> viable cells per ml</t>
    </r>
  </si>
  <si>
    <r>
      <t>8.0x10</t>
    </r>
    <r>
      <rPr>
        <vertAlign val="superscript"/>
        <sz val="11"/>
        <color theme="1"/>
        <rFont val="Calibri"/>
        <family val="2"/>
        <scheme val="minor"/>
      </rPr>
      <t xml:space="preserve">6 </t>
    </r>
    <r>
      <rPr>
        <sz val="11"/>
        <color theme="1"/>
        <rFont val="Calibri"/>
        <family val="2"/>
        <scheme val="minor"/>
      </rPr>
      <t>total cells needed in 40 mL</t>
    </r>
  </si>
  <si>
    <r>
      <t>68.75x10</t>
    </r>
    <r>
      <rPr>
        <b/>
        <vertAlign val="superscript"/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 xml:space="preserve"> viable cells per ml</t>
    </r>
  </si>
  <si>
    <t>cpm 5 ul T3 stock</t>
  </si>
  <si>
    <t>STOCK</t>
  </si>
  <si>
    <t>27/3/2024</t>
  </si>
  <si>
    <t>H4, SKNAS</t>
  </si>
  <si>
    <t>Xn 1, 0.3 en 0.1 µM</t>
  </si>
  <si>
    <t>Test  inhibition of different compounds on H4, and SKNAS</t>
  </si>
  <si>
    <t>Xn</t>
  </si>
  <si>
    <t>XN  1</t>
  </si>
  <si>
    <t>XN  0.1</t>
  </si>
  <si>
    <t>XN  0.3</t>
  </si>
  <si>
    <t>XN 1</t>
  </si>
  <si>
    <t>XN 0.3</t>
  </si>
  <si>
    <t>XN 0.1</t>
  </si>
  <si>
    <t>TELLING 5 min</t>
  </si>
  <si>
    <t>I</t>
  </si>
  <si>
    <t>1 µM Xn</t>
  </si>
  <si>
    <t>0.3 µM Xn</t>
  </si>
  <si>
    <t>0.1 µM Xn</t>
  </si>
  <si>
    <t>27-3-24 Xn H4 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</si>
</sst>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B05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6" fillId="0" borderId="0"/>
    <xf numFmtId="9" fontId="18" fillId="0" borderId="0" applyFon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2" fontId="0" fillId="0" borderId="0" xfId="0" applyNumberFormat="1"/>
    <xf numFmtId="0" fontId="6" fillId="0" borderId="0" xfId="0" applyFont="1"/>
    <xf numFmtId="0" fontId="0" fillId="0" borderId="0" xfId="0" applyFill="1"/>
    <xf numFmtId="0" fontId="3" fillId="0" borderId="0" xfId="0" applyFont="1" applyFill="1"/>
    <xf numFmtId="0" fontId="7" fillId="0" borderId="0" xfId="0" applyFont="1"/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0" fontId="10" fillId="0" borderId="0" xfId="0" applyFont="1"/>
    <xf numFmtId="14" fontId="10" fillId="0" borderId="0" xfId="0" applyNumberFormat="1" applyFont="1"/>
    <xf numFmtId="1" fontId="10" fillId="0" borderId="0" xfId="0" applyNumberFormat="1" applyFont="1"/>
    <xf numFmtId="0" fontId="0" fillId="0" borderId="0" xfId="0" applyFont="1"/>
    <xf numFmtId="22" fontId="0" fillId="0" borderId="0" xfId="0" applyNumberFormat="1"/>
    <xf numFmtId="14" fontId="0" fillId="0" borderId="0" xfId="0" applyNumberFormat="1" applyFill="1"/>
    <xf numFmtId="0" fontId="0" fillId="0" borderId="0" xfId="0" applyFont="1" applyFill="1"/>
    <xf numFmtId="0" fontId="5" fillId="0" borderId="0" xfId="0" applyFont="1" applyFill="1"/>
    <xf numFmtId="0" fontId="2" fillId="0" borderId="0" xfId="0" applyFont="1" applyFill="1"/>
    <xf numFmtId="0" fontId="1" fillId="0" borderId="0" xfId="0" applyFont="1" applyFill="1"/>
    <xf numFmtId="164" fontId="0" fillId="0" borderId="0" xfId="0" applyNumberFormat="1" applyFill="1"/>
    <xf numFmtId="0" fontId="0" fillId="0" borderId="1" xfId="0" applyBorder="1"/>
    <xf numFmtId="0" fontId="0" fillId="0" borderId="6" xfId="0" applyBorder="1"/>
    <xf numFmtId="0" fontId="0" fillId="0" borderId="5" xfId="0" applyBorder="1"/>
    <xf numFmtId="164" fontId="0" fillId="0" borderId="5" xfId="0" applyNumberFormat="1" applyBorder="1"/>
    <xf numFmtId="0" fontId="0" fillId="0" borderId="3" xfId="0" applyBorder="1"/>
    <xf numFmtId="0" fontId="0" fillId="0" borderId="4" xfId="0" applyBorder="1"/>
    <xf numFmtId="0" fontId="12" fillId="0" borderId="0" xfId="0" applyFont="1" applyFill="1"/>
    <xf numFmtId="0" fontId="4" fillId="0" borderId="0" xfId="0" applyFont="1"/>
    <xf numFmtId="0" fontId="13" fillId="0" borderId="0" xfId="0" applyFont="1"/>
    <xf numFmtId="1" fontId="0" fillId="0" borderId="2" xfId="0" applyNumberFormat="1" applyBorder="1"/>
    <xf numFmtId="1" fontId="0" fillId="0" borderId="0" xfId="0" applyNumberFormat="1"/>
    <xf numFmtId="1" fontId="0" fillId="0" borderId="5" xfId="0" applyNumberFormat="1" applyBorder="1"/>
    <xf numFmtId="0" fontId="1" fillId="0" borderId="7" xfId="0" applyFont="1" applyFill="1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164" fontId="0" fillId="0" borderId="0" xfId="0" applyNumberFormat="1" applyBorder="1"/>
    <xf numFmtId="0" fontId="1" fillId="0" borderId="0" xfId="0" applyFont="1" applyFill="1" applyBorder="1"/>
    <xf numFmtId="0" fontId="7" fillId="0" borderId="5" xfId="0" applyFont="1" applyBorder="1"/>
    <xf numFmtId="0" fontId="7" fillId="0" borderId="0" xfId="0" applyFont="1" applyFill="1"/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0" borderId="0" xfId="0" applyFont="1" applyFill="1" applyBorder="1"/>
    <xf numFmtId="2" fontId="0" fillId="0" borderId="0" xfId="0" applyNumberFormat="1" applyFill="1" applyBorder="1"/>
    <xf numFmtId="0" fontId="1" fillId="0" borderId="0" xfId="0" applyFont="1" applyFill="1" applyBorder="1" applyAlignment="1">
      <alignment horizontal="center"/>
    </xf>
    <xf numFmtId="0" fontId="7" fillId="0" borderId="0" xfId="0" applyFont="1" applyFill="1" applyBorder="1"/>
    <xf numFmtId="1" fontId="0" fillId="0" borderId="0" xfId="0" applyNumberFormat="1" applyFill="1" applyBorder="1"/>
    <xf numFmtId="0" fontId="1" fillId="0" borderId="0" xfId="0" quotePrefix="1" applyFont="1" applyFill="1" applyBorder="1"/>
    <xf numFmtId="0" fontId="3" fillId="0" borderId="0" xfId="0" applyFont="1" applyFill="1" applyBorder="1"/>
    <xf numFmtId="0" fontId="0" fillId="0" borderId="0" xfId="0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15" fillId="2" borderId="8" xfId="0" applyFont="1" applyFill="1" applyBorder="1"/>
    <xf numFmtId="0" fontId="0" fillId="2" borderId="8" xfId="0" applyFill="1" applyBorder="1"/>
    <xf numFmtId="0" fontId="0" fillId="0" borderId="0" xfId="0" quotePrefix="1"/>
    <xf numFmtId="165" fontId="0" fillId="0" borderId="0" xfId="0" applyNumberFormat="1" applyBorder="1"/>
    <xf numFmtId="0" fontId="7" fillId="7" borderId="0" xfId="0" applyFont="1" applyFill="1"/>
    <xf numFmtId="0" fontId="0" fillId="4" borderId="0" xfId="0" applyFill="1"/>
    <xf numFmtId="165" fontId="0" fillId="0" borderId="0" xfId="0" applyNumberFormat="1" applyFill="1" applyBorder="1"/>
    <xf numFmtId="165" fontId="0" fillId="0" borderId="0" xfId="0" applyNumberFormat="1" applyFont="1" applyFill="1" applyBorder="1"/>
    <xf numFmtId="0" fontId="0" fillId="7" borderId="5" xfId="0" applyFill="1" applyBorder="1"/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4" borderId="0" xfId="0" quotePrefix="1" applyFill="1"/>
    <xf numFmtId="0" fontId="0" fillId="0" borderId="7" xfId="0" applyFill="1" applyBorder="1"/>
    <xf numFmtId="164" fontId="0" fillId="0" borderId="13" xfId="0" applyNumberFormat="1" applyFill="1" applyBorder="1"/>
    <xf numFmtId="164" fontId="0" fillId="0" borderId="14" xfId="0" applyNumberFormat="1" applyFill="1" applyBorder="1"/>
    <xf numFmtId="164" fontId="0" fillId="0" borderId="0" xfId="0" applyNumberFormat="1" applyFill="1" applyBorder="1"/>
    <xf numFmtId="164" fontId="0" fillId="0" borderId="16" xfId="0" applyNumberFormat="1" applyFill="1" applyBorder="1"/>
    <xf numFmtId="164" fontId="1" fillId="0" borderId="13" xfId="0" applyNumberFormat="1" applyFont="1" applyBorder="1"/>
    <xf numFmtId="0" fontId="0" fillId="0" borderId="13" xfId="0" applyFill="1" applyBorder="1"/>
    <xf numFmtId="2" fontId="0" fillId="0" borderId="13" xfId="0" applyNumberFormat="1" applyFill="1" applyBorder="1"/>
    <xf numFmtId="0" fontId="0" fillId="0" borderId="18" xfId="0" applyFill="1" applyBorder="1"/>
    <xf numFmtId="2" fontId="0" fillId="0" borderId="18" xfId="0" applyNumberFormat="1" applyFill="1" applyBorder="1"/>
    <xf numFmtId="165" fontId="0" fillId="3" borderId="20" xfId="0" applyNumberFormat="1" applyFill="1" applyBorder="1"/>
    <xf numFmtId="165" fontId="0" fillId="3" borderId="22" xfId="0" applyNumberFormat="1" applyFill="1" applyBorder="1"/>
    <xf numFmtId="165" fontId="0" fillId="0" borderId="23" xfId="0" applyNumberFormat="1" applyFont="1" applyFill="1" applyBorder="1"/>
    <xf numFmtId="165" fontId="0" fillId="3" borderId="24" xfId="0" applyNumberFormat="1" applyFill="1" applyBorder="1"/>
    <xf numFmtId="165" fontId="0" fillId="0" borderId="26" xfId="0" applyNumberFormat="1" applyFont="1" applyFill="1" applyBorder="1"/>
    <xf numFmtId="165" fontId="0" fillId="0" borderId="13" xfId="0" applyNumberFormat="1" applyBorder="1"/>
    <xf numFmtId="0" fontId="0" fillId="0" borderId="14" xfId="0" applyBorder="1"/>
    <xf numFmtId="0" fontId="0" fillId="0" borderId="16" xfId="0" applyBorder="1"/>
    <xf numFmtId="0" fontId="1" fillId="6" borderId="25" xfId="0" applyFont="1" applyFill="1" applyBorder="1"/>
    <xf numFmtId="165" fontId="0" fillId="0" borderId="18" xfId="0" applyNumberFormat="1" applyBorder="1"/>
    <xf numFmtId="0" fontId="0" fillId="0" borderId="19" xfId="0" applyBorder="1"/>
    <xf numFmtId="0" fontId="1" fillId="9" borderId="25" xfId="0" applyFont="1" applyFill="1" applyBorder="1"/>
    <xf numFmtId="0" fontId="1" fillId="13" borderId="25" xfId="0" applyFont="1" applyFill="1" applyBorder="1"/>
    <xf numFmtId="165" fontId="0" fillId="3" borderId="27" xfId="0" applyNumberFormat="1" applyFill="1" applyBorder="1"/>
    <xf numFmtId="165" fontId="0" fillId="3" borderId="10" xfId="0" applyNumberFormat="1" applyFill="1" applyBorder="1"/>
    <xf numFmtId="165" fontId="0" fillId="3" borderId="33" xfId="0" applyNumberFormat="1" applyFill="1" applyBorder="1"/>
    <xf numFmtId="0" fontId="1" fillId="5" borderId="12" xfId="0" applyFont="1" applyFill="1" applyBorder="1"/>
    <xf numFmtId="0" fontId="1" fillId="6" borderId="14" xfId="0" applyFont="1" applyFill="1" applyBorder="1"/>
    <xf numFmtId="0" fontId="1" fillId="5" borderId="15" xfId="0" applyFont="1" applyFill="1" applyBorder="1"/>
    <xf numFmtId="0" fontId="1" fillId="6" borderId="16" xfId="0" applyFont="1" applyFill="1" applyBorder="1"/>
    <xf numFmtId="0" fontId="1" fillId="9" borderId="12" xfId="0" applyFont="1" applyFill="1" applyBorder="1"/>
    <xf numFmtId="0" fontId="1" fillId="10" borderId="14" xfId="0" applyFont="1" applyFill="1" applyBorder="1"/>
    <xf numFmtId="0" fontId="1" fillId="9" borderId="15" xfId="0" applyFont="1" applyFill="1" applyBorder="1"/>
    <xf numFmtId="0" fontId="1" fillId="10" borderId="16" xfId="0" applyFont="1" applyFill="1" applyBorder="1"/>
    <xf numFmtId="0" fontId="1" fillId="9" borderId="17" xfId="0" applyFont="1" applyFill="1" applyBorder="1"/>
    <xf numFmtId="0" fontId="1" fillId="11" borderId="12" xfId="0" applyFont="1" applyFill="1" applyBorder="1"/>
    <xf numFmtId="0" fontId="1" fillId="12" borderId="14" xfId="0" applyFont="1" applyFill="1" applyBorder="1"/>
    <xf numFmtId="0" fontId="1" fillId="11" borderId="15" xfId="0" applyFont="1" applyFill="1" applyBorder="1"/>
    <xf numFmtId="0" fontId="1" fillId="12" borderId="16" xfId="0" applyFont="1" applyFill="1" applyBorder="1"/>
    <xf numFmtId="165" fontId="0" fillId="0" borderId="11" xfId="0" applyNumberFormat="1" applyFont="1" applyFill="1" applyBorder="1"/>
    <xf numFmtId="165" fontId="0" fillId="0" borderId="31" xfId="0" applyNumberFormat="1" applyFont="1" applyFill="1" applyBorder="1"/>
    <xf numFmtId="0" fontId="1" fillId="8" borderId="12" xfId="0" applyFont="1" applyFill="1" applyBorder="1"/>
    <xf numFmtId="0" fontId="1" fillId="13" borderId="14" xfId="0" applyFont="1" applyFill="1" applyBorder="1"/>
    <xf numFmtId="0" fontId="1" fillId="8" borderId="15" xfId="0" applyFont="1" applyFill="1" applyBorder="1"/>
    <xf numFmtId="0" fontId="1" fillId="13" borderId="16" xfId="0" applyFont="1" applyFill="1" applyBorder="1"/>
    <xf numFmtId="0" fontId="0" fillId="7" borderId="0" xfId="0" applyFill="1"/>
    <xf numFmtId="10" fontId="0" fillId="0" borderId="13" xfId="0" applyNumberFormat="1" applyFill="1" applyBorder="1"/>
    <xf numFmtId="10" fontId="0" fillId="0" borderId="0" xfId="0" applyNumberFormat="1" applyFill="1" applyBorder="1"/>
    <xf numFmtId="10" fontId="0" fillId="0" borderId="18" xfId="0" applyNumberFormat="1" applyFill="1" applyBorder="1"/>
    <xf numFmtId="10" fontId="0" fillId="0" borderId="13" xfId="2" applyNumberFormat="1" applyFont="1" applyFill="1" applyBorder="1"/>
    <xf numFmtId="10" fontId="0" fillId="0" borderId="13" xfId="2" applyNumberFormat="1" applyFont="1" applyBorder="1"/>
    <xf numFmtId="10" fontId="0" fillId="0" borderId="0" xfId="2" applyNumberFormat="1" applyFont="1" applyFill="1" applyBorder="1"/>
    <xf numFmtId="10" fontId="0" fillId="0" borderId="0" xfId="2" applyNumberFormat="1" applyFont="1" applyBorder="1"/>
    <xf numFmtId="10" fontId="0" fillId="0" borderId="18" xfId="2" applyNumberFormat="1" applyFont="1" applyFill="1" applyBorder="1"/>
    <xf numFmtId="10" fontId="0" fillId="0" borderId="18" xfId="2" applyNumberFormat="1" applyFont="1" applyBorder="1"/>
    <xf numFmtId="10" fontId="0" fillId="0" borderId="14" xfId="2" applyNumberFormat="1" applyFont="1" applyBorder="1"/>
    <xf numFmtId="10" fontId="0" fillId="0" borderId="16" xfId="2" applyNumberFormat="1" applyFont="1" applyBorder="1"/>
    <xf numFmtId="10" fontId="0" fillId="0" borderId="19" xfId="2" applyNumberFormat="1" applyFont="1" applyBorder="1"/>
    <xf numFmtId="0" fontId="0" fillId="0" borderId="0" xfId="0" quotePrefix="1" applyFill="1"/>
    <xf numFmtId="0" fontId="1" fillId="0" borderId="0" xfId="1" applyFont="1" applyFill="1"/>
    <xf numFmtId="0" fontId="17" fillId="0" borderId="0" xfId="0" applyFont="1" applyFill="1"/>
    <xf numFmtId="165" fontId="0" fillId="0" borderId="0" xfId="0" applyNumberFormat="1" applyFill="1"/>
    <xf numFmtId="0" fontId="0" fillId="7" borderId="9" xfId="0" applyFill="1" applyBorder="1" applyAlignment="1">
      <alignment horizontal="right"/>
    </xf>
    <xf numFmtId="0" fontId="0" fillId="7" borderId="0" xfId="0" applyFill="1" applyBorder="1" applyAlignment="1">
      <alignment horizontal="right"/>
    </xf>
    <xf numFmtId="0" fontId="1" fillId="0" borderId="32" xfId="0" applyFont="1" applyFill="1" applyBorder="1"/>
    <xf numFmtId="0" fontId="1" fillId="0" borderId="21" xfId="0" applyFont="1" applyFill="1" applyBorder="1"/>
    <xf numFmtId="0" fontId="1" fillId="0" borderId="11" xfId="0" applyFont="1" applyFill="1" applyBorder="1"/>
    <xf numFmtId="0" fontId="1" fillId="0" borderId="23" xfId="0" applyFont="1" applyFill="1" applyBorder="1"/>
    <xf numFmtId="0" fontId="1" fillId="0" borderId="12" xfId="0" applyFont="1" applyFill="1" applyBorder="1"/>
    <xf numFmtId="0" fontId="1" fillId="0" borderId="15" xfId="0" applyFont="1" applyFill="1" applyBorder="1"/>
    <xf numFmtId="0" fontId="1" fillId="0" borderId="17" xfId="0" applyFont="1" applyFill="1" applyBorder="1"/>
    <xf numFmtId="0" fontId="1" fillId="6" borderId="12" xfId="0" applyFont="1" applyFill="1" applyBorder="1"/>
    <xf numFmtId="0" fontId="1" fillId="6" borderId="15" xfId="0" applyFont="1" applyFill="1" applyBorder="1"/>
    <xf numFmtId="0" fontId="1" fillId="6" borderId="17" xfId="0" applyFont="1" applyFill="1" applyBorder="1"/>
    <xf numFmtId="0" fontId="1" fillId="12" borderId="12" xfId="0" applyFont="1" applyFill="1" applyBorder="1"/>
    <xf numFmtId="0" fontId="1" fillId="12" borderId="15" xfId="0" applyFont="1" applyFill="1" applyBorder="1"/>
    <xf numFmtId="0" fontId="1" fillId="12" borderId="17" xfId="0" applyFont="1" applyFill="1" applyBorder="1"/>
    <xf numFmtId="0" fontId="1" fillId="13" borderId="12" xfId="0" applyFont="1" applyFill="1" applyBorder="1"/>
    <xf numFmtId="0" fontId="1" fillId="13" borderId="15" xfId="0" applyFont="1" applyFill="1" applyBorder="1"/>
    <xf numFmtId="0" fontId="1" fillId="13" borderId="17" xfId="0" applyFont="1" applyFill="1" applyBorder="1"/>
    <xf numFmtId="0" fontId="0" fillId="0" borderId="0" xfId="0" applyBorder="1" applyAlignment="1">
      <alignment vertical="center" textRotation="90"/>
    </xf>
    <xf numFmtId="0" fontId="0" fillId="0" borderId="13" xfId="0" applyBorder="1" applyAlignment="1">
      <alignment horizontal="right"/>
    </xf>
    <xf numFmtId="0" fontId="0" fillId="0" borderId="18" xfId="0" applyBorder="1" applyAlignment="1">
      <alignment horizontal="right"/>
    </xf>
    <xf numFmtId="0" fontId="1" fillId="12" borderId="37" xfId="0" applyFont="1" applyFill="1" applyBorder="1"/>
    <xf numFmtId="0" fontId="0" fillId="0" borderId="38" xfId="0" applyBorder="1" applyAlignment="1">
      <alignment horizontal="right"/>
    </xf>
    <xf numFmtId="164" fontId="1" fillId="0" borderId="0" xfId="0" applyNumberFormat="1" applyFont="1" applyBorder="1"/>
    <xf numFmtId="0" fontId="0" fillId="5" borderId="1" xfId="0" applyFill="1" applyBorder="1"/>
    <xf numFmtId="0" fontId="1" fillId="0" borderId="0" xfId="0" applyFont="1" applyBorder="1"/>
    <xf numFmtId="0" fontId="0" fillId="0" borderId="34" xfId="0" applyFont="1" applyFill="1" applyBorder="1" applyAlignment="1">
      <alignment vertical="center"/>
    </xf>
    <xf numFmtId="0" fontId="0" fillId="0" borderId="35" xfId="0" applyFont="1" applyFill="1" applyBorder="1" applyAlignment="1">
      <alignment vertical="center"/>
    </xf>
    <xf numFmtId="0" fontId="1" fillId="0" borderId="13" xfId="0" applyFont="1" applyFill="1" applyBorder="1"/>
    <xf numFmtId="0" fontId="1" fillId="0" borderId="18" xfId="0" applyFont="1" applyFill="1" applyBorder="1"/>
    <xf numFmtId="0" fontId="0" fillId="0" borderId="0" xfId="0" applyFont="1" applyFill="1" applyBorder="1" applyAlignment="1">
      <alignment vertical="center"/>
    </xf>
    <xf numFmtId="2" fontId="6" fillId="0" borderId="0" xfId="0" applyNumberFormat="1" applyFont="1" applyBorder="1"/>
    <xf numFmtId="164" fontId="1" fillId="0" borderId="18" xfId="0" applyNumberFormat="1" applyFont="1" applyBorder="1"/>
    <xf numFmtId="9" fontId="0" fillId="0" borderId="0" xfId="2" applyFont="1"/>
    <xf numFmtId="0" fontId="0" fillId="0" borderId="0" xfId="0" applyAlignment="1">
      <alignment vertical="center" textRotation="90"/>
    </xf>
    <xf numFmtId="0" fontId="0" fillId="0" borderId="0" xfId="0" applyAlignment="1">
      <alignment vertical="center"/>
    </xf>
    <xf numFmtId="0" fontId="0" fillId="7" borderId="0" xfId="0" applyFill="1" applyBorder="1"/>
    <xf numFmtId="0" fontId="0" fillId="0" borderId="13" xfId="0" applyBorder="1"/>
    <xf numFmtId="0" fontId="0" fillId="0" borderId="36" xfId="0" applyFont="1" applyFill="1" applyBorder="1" applyAlignment="1">
      <alignment vertical="center"/>
    </xf>
    <xf numFmtId="0" fontId="0" fillId="0" borderId="18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Border="1" applyAlignment="1">
      <alignment horizontal="center" vertical="center" textRotation="90"/>
    </xf>
    <xf numFmtId="0" fontId="0" fillId="0" borderId="0" xfId="0" applyFont="1" applyFill="1" applyBorder="1" applyAlignment="1">
      <alignment horizontal="center" vertical="center"/>
    </xf>
    <xf numFmtId="165" fontId="0" fillId="0" borderId="3" xfId="0" applyNumberFormat="1" applyFont="1" applyFill="1" applyBorder="1" applyAlignment="1">
      <alignment horizontal="center"/>
    </xf>
    <xf numFmtId="165" fontId="0" fillId="0" borderId="4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4" xfId="0" applyBorder="1" applyAlignment="1">
      <alignment horizontal="center" vertical="center" textRotation="90"/>
    </xf>
    <xf numFmtId="0" fontId="0" fillId="0" borderId="35" xfId="0" applyBorder="1" applyAlignment="1">
      <alignment horizontal="center" vertical="center" textRotation="90"/>
    </xf>
    <xf numFmtId="0" fontId="0" fillId="0" borderId="36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0" fillId="0" borderId="28" xfId="0" applyBorder="1" applyAlignment="1">
      <alignment horizontal="center" vertical="center" textRotation="90"/>
    </xf>
    <xf numFmtId="0" fontId="0" fillId="0" borderId="29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1" fillId="0" borderId="16" xfId="0" applyFont="1" applyFill="1" applyBorder="1"/>
    <xf numFmtId="0" fontId="1" fillId="0" borderId="19" xfId="0" applyFont="1" applyFill="1" applyBorder="1"/>
  </cellXfs>
  <cellStyles count="3">
    <cellStyle name="Normal" xfId="0" builtinId="0"/>
    <cellStyle name="Percent" xfId="2" builtinId="5"/>
    <cellStyle name="Standaard 2 2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BSA standard</a:t>
            </a:r>
            <a:r>
              <a:rPr lang="en-US" baseline="0"/>
              <a:t> curve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51327595678446"/>
                  <c:y val="-0.6840041197381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concentration'!$A$23:$A$30</c:f>
              <c:numCache>
                <c:formatCode>General</c:formatCode>
                <c:ptCount val="8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0.75</c:v>
                </c:pt>
                <c:pt idx="4">
                  <c:v>0.5</c:v>
                </c:pt>
                <c:pt idx="5">
                  <c:v>0.25</c:v>
                </c:pt>
                <c:pt idx="6">
                  <c:v>0.125</c:v>
                </c:pt>
                <c:pt idx="7">
                  <c:v>0</c:v>
                </c:pt>
              </c:numCache>
            </c:numRef>
          </c:xVal>
          <c:yVal>
            <c:numRef>
              <c:f>'Protein concentration'!$D$23:$D$30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90-46B1-B377-920F1AC89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53496"/>
        <c:axId val="536859072"/>
      </c:scatterChart>
      <c:valAx>
        <c:axId val="53685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</a:t>
                </a:r>
                <a:r>
                  <a:rPr lang="en-US" baseline="0"/>
                  <a:t> (mg/ml)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9072"/>
        <c:crosses val="autoZero"/>
        <c:crossBetween val="midCat"/>
      </c:valAx>
      <c:valAx>
        <c:axId val="5368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at 598nm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BSA 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51327595678446"/>
                  <c:y val="-0.6840041197381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concentration'!$Q$26:$Q$31</c:f>
              <c:numCache>
                <c:formatCode>General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0.125</c:v>
                </c:pt>
                <c:pt idx="5">
                  <c:v>0</c:v>
                </c:pt>
              </c:numCache>
            </c:numRef>
          </c:xVal>
          <c:yVal>
            <c:numRef>
              <c:f>'Protein concentration'!$T$26:$T$31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48-4CD6-99BE-8F3FD15E5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53496"/>
        <c:axId val="536859072"/>
      </c:scatterChart>
      <c:valAx>
        <c:axId val="53685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</a:t>
                </a:r>
                <a:r>
                  <a:rPr lang="en-US" baseline="0"/>
                  <a:t> (mg/ml)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9072"/>
        <c:crosses val="autoZero"/>
        <c:crossBetween val="midCat"/>
      </c:valAx>
      <c:valAx>
        <c:axId val="5368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at 598nm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BSA 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51327595678446"/>
                  <c:y val="-0.6840041197381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concentration'!$AG$26:$AG$31</c:f>
              <c:numCache>
                <c:formatCode>General</c:formatCode>
                <c:ptCount val="6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0.125</c:v>
                </c:pt>
                <c:pt idx="5">
                  <c:v>0</c:v>
                </c:pt>
              </c:numCache>
            </c:numRef>
          </c:xVal>
          <c:yVal>
            <c:numRef>
              <c:f>'Protein concentration'!$AJ$26:$AJ$31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1-4C5A-9DF5-0E708E428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53496"/>
        <c:axId val="536859072"/>
      </c:scatterChart>
      <c:valAx>
        <c:axId val="53685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</a:t>
                </a:r>
                <a:r>
                  <a:rPr lang="en-US" baseline="0"/>
                  <a:t> (mg/ml)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9072"/>
        <c:crosses val="autoZero"/>
        <c:crossBetween val="midCat"/>
      </c:valAx>
      <c:valAx>
        <c:axId val="5368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at 598nm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BSA standard</a:t>
            </a:r>
            <a:r>
              <a:rPr lang="en-US" baseline="0"/>
              <a:t> curve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51327595678446"/>
                  <c:y val="-0.6840041197381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concentration'!$A$23:$A$30</c:f>
              <c:numCache>
                <c:formatCode>General</c:formatCode>
                <c:ptCount val="8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0.75</c:v>
                </c:pt>
                <c:pt idx="4">
                  <c:v>0.5</c:v>
                </c:pt>
                <c:pt idx="5">
                  <c:v>0.25</c:v>
                </c:pt>
                <c:pt idx="6">
                  <c:v>0.125</c:v>
                </c:pt>
                <c:pt idx="7">
                  <c:v>0</c:v>
                </c:pt>
              </c:numCache>
            </c:numRef>
          </c:xVal>
          <c:yVal>
            <c:numRef>
              <c:f>'Protein concentration'!$D$23:$D$30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41-4B34-8E6A-870B65B68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53496"/>
        <c:axId val="536859072"/>
      </c:scatterChart>
      <c:valAx>
        <c:axId val="53685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</a:t>
                </a:r>
                <a:r>
                  <a:rPr lang="en-US" baseline="0"/>
                  <a:t> (mg/ml)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9072"/>
        <c:crosses val="autoZero"/>
        <c:crossBetween val="midCat"/>
      </c:valAx>
      <c:valAx>
        <c:axId val="5368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at 598nm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BSA 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51327595678446"/>
                  <c:y val="-0.6840041197381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concentration'!$A$23:$A$30</c:f>
              <c:numCache>
                <c:formatCode>General</c:formatCode>
                <c:ptCount val="8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0.75</c:v>
                </c:pt>
                <c:pt idx="4">
                  <c:v>0.5</c:v>
                </c:pt>
                <c:pt idx="5">
                  <c:v>0.25</c:v>
                </c:pt>
                <c:pt idx="6">
                  <c:v>0.125</c:v>
                </c:pt>
                <c:pt idx="7">
                  <c:v>0</c:v>
                </c:pt>
              </c:numCache>
            </c:numRef>
          </c:xVal>
          <c:yVal>
            <c:numRef>
              <c:f>'Protein concentration'!$D$23:$D$30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88-4050-888D-F9DF945AC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53496"/>
        <c:axId val="536859072"/>
      </c:scatterChart>
      <c:valAx>
        <c:axId val="53685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</a:t>
                </a:r>
                <a:r>
                  <a:rPr lang="en-US" baseline="0"/>
                  <a:t> (mg/ml)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9072"/>
        <c:crosses val="autoZero"/>
        <c:crossBetween val="midCat"/>
      </c:valAx>
      <c:valAx>
        <c:axId val="5368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at 598nm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BSA 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51327595678446"/>
                  <c:y val="-0.6840041197381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concentration'!$A$23:$A$30</c:f>
              <c:numCache>
                <c:formatCode>General</c:formatCode>
                <c:ptCount val="8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0.75</c:v>
                </c:pt>
                <c:pt idx="4">
                  <c:v>0.5</c:v>
                </c:pt>
                <c:pt idx="5">
                  <c:v>0.25</c:v>
                </c:pt>
                <c:pt idx="6">
                  <c:v>0.125</c:v>
                </c:pt>
                <c:pt idx="7">
                  <c:v>0</c:v>
                </c:pt>
              </c:numCache>
            </c:numRef>
          </c:xVal>
          <c:yVal>
            <c:numRef>
              <c:f>'Protein concentration'!$D$23:$D$30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9-4216-8C16-302C267E4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53496"/>
        <c:axId val="536859072"/>
      </c:scatterChart>
      <c:valAx>
        <c:axId val="53685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</a:t>
                </a:r>
                <a:r>
                  <a:rPr lang="en-US" baseline="0"/>
                  <a:t> (mg/ml)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9072"/>
        <c:crosses val="autoZero"/>
        <c:crossBetween val="midCat"/>
      </c:valAx>
      <c:valAx>
        <c:axId val="5368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at 598nm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20</xdr:row>
      <xdr:rowOff>0</xdr:rowOff>
    </xdr:from>
    <xdr:to>
      <xdr:col>13</xdr:col>
      <xdr:colOff>438150</xdr:colOff>
      <xdr:row>31</xdr:row>
      <xdr:rowOff>161925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21</xdr:row>
      <xdr:rowOff>0</xdr:rowOff>
    </xdr:from>
    <xdr:to>
      <xdr:col>29</xdr:col>
      <xdr:colOff>438150</xdr:colOff>
      <xdr:row>32</xdr:row>
      <xdr:rowOff>161925</xdr:rowOff>
    </xdr:to>
    <xdr:graphicFrame macro="">
      <xdr:nvGraphicFramePr>
        <xdr:cNvPr id="3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21</xdr:row>
      <xdr:rowOff>0</xdr:rowOff>
    </xdr:from>
    <xdr:to>
      <xdr:col>45</xdr:col>
      <xdr:colOff>438150</xdr:colOff>
      <xdr:row>32</xdr:row>
      <xdr:rowOff>161925</xdr:rowOff>
    </xdr:to>
    <xdr:graphicFrame macro="">
      <xdr:nvGraphicFramePr>
        <xdr:cNvPr id="4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13</xdr:col>
      <xdr:colOff>438150</xdr:colOff>
      <xdr:row>47</xdr:row>
      <xdr:rowOff>161925</xdr:rowOff>
    </xdr:to>
    <xdr:graphicFrame macro="">
      <xdr:nvGraphicFramePr>
        <xdr:cNvPr id="8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37</xdr:row>
      <xdr:rowOff>0</xdr:rowOff>
    </xdr:from>
    <xdr:to>
      <xdr:col>29</xdr:col>
      <xdr:colOff>438150</xdr:colOff>
      <xdr:row>48</xdr:row>
      <xdr:rowOff>161925</xdr:rowOff>
    </xdr:to>
    <xdr:graphicFrame macro="">
      <xdr:nvGraphicFramePr>
        <xdr:cNvPr id="9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0</xdr:colOff>
      <xdr:row>37</xdr:row>
      <xdr:rowOff>0</xdr:rowOff>
    </xdr:from>
    <xdr:to>
      <xdr:col>45</xdr:col>
      <xdr:colOff>438150</xdr:colOff>
      <xdr:row>48</xdr:row>
      <xdr:rowOff>161925</xdr:rowOff>
    </xdr:to>
    <xdr:graphicFrame macro="">
      <xdr:nvGraphicFramePr>
        <xdr:cNvPr id="11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003647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E12"/>
  <sheetViews>
    <sheetView workbookViewId="0">
      <selection activeCell="G15" sqref="G15"/>
    </sheetView>
  </sheetViews>
  <sheetFormatPr defaultRowHeight="15" x14ac:dyDescent="0.25"/>
  <cols>
    <col min="2" max="2" width="23.5703125" customWidth="1"/>
    <col min="3" max="3" width="26.42578125" customWidth="1"/>
  </cols>
  <sheetData>
    <row r="3" spans="2:5" x14ac:dyDescent="0.25">
      <c r="B3" s="6" t="s">
        <v>2</v>
      </c>
      <c r="C3" s="7" t="s">
        <v>81</v>
      </c>
      <c r="D3" s="6"/>
      <c r="E3" s="6"/>
    </row>
    <row r="4" spans="2:5" x14ac:dyDescent="0.25">
      <c r="B4" s="6" t="s">
        <v>3</v>
      </c>
      <c r="C4" s="11" t="s">
        <v>190</v>
      </c>
      <c r="D4" s="6"/>
      <c r="E4" s="6"/>
    </row>
    <row r="5" spans="2:5" x14ac:dyDescent="0.25">
      <c r="B5" s="11" t="s">
        <v>4</v>
      </c>
      <c r="C5" s="11" t="s">
        <v>191</v>
      </c>
      <c r="D5" s="10"/>
      <c r="E5" s="10"/>
    </row>
    <row r="6" spans="2:5" x14ac:dyDescent="0.25">
      <c r="B6" s="11" t="s">
        <v>6</v>
      </c>
      <c r="C6" s="11" t="s">
        <v>27</v>
      </c>
      <c r="D6" s="10"/>
      <c r="E6" s="10"/>
    </row>
    <row r="7" spans="2:5" x14ac:dyDescent="0.25">
      <c r="B7" s="6" t="s">
        <v>7</v>
      </c>
      <c r="C7" s="8" t="s">
        <v>28</v>
      </c>
      <c r="D7" s="6"/>
      <c r="E7" s="6"/>
    </row>
    <row r="8" spans="2:5" x14ac:dyDescent="0.25">
      <c r="B8" s="6" t="s">
        <v>8</v>
      </c>
      <c r="C8" s="8" t="s">
        <v>192</v>
      </c>
      <c r="D8" s="6"/>
      <c r="E8" s="6"/>
    </row>
    <row r="9" spans="2:5" x14ac:dyDescent="0.25">
      <c r="B9" s="6" t="s">
        <v>9</v>
      </c>
      <c r="C9" s="7" t="s">
        <v>29</v>
      </c>
    </row>
    <row r="10" spans="2:5" x14ac:dyDescent="0.25">
      <c r="C10" s="9"/>
    </row>
    <row r="11" spans="2:5" x14ac:dyDescent="0.25">
      <c r="C11" s="9"/>
    </row>
    <row r="12" spans="2:5" x14ac:dyDescent="0.25">
      <c r="B12" s="6" t="s">
        <v>5</v>
      </c>
      <c r="C12" s="8" t="s">
        <v>193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M38"/>
  <sheetViews>
    <sheetView topLeftCell="A7" workbookViewId="0">
      <selection activeCell="B25" sqref="B25"/>
    </sheetView>
  </sheetViews>
  <sheetFormatPr defaultRowHeight="15" x14ac:dyDescent="0.25"/>
  <cols>
    <col min="2" max="2" width="17.140625" customWidth="1"/>
    <col min="3" max="3" width="18.28515625" customWidth="1"/>
    <col min="9" max="9" width="11.42578125" customWidth="1"/>
    <col min="10" max="10" width="30.42578125" customWidth="1"/>
    <col min="11" max="11" width="25.140625" customWidth="1"/>
  </cols>
  <sheetData>
    <row r="2" spans="2:13" x14ac:dyDescent="0.25">
      <c r="B2" s="10" t="s">
        <v>2</v>
      </c>
      <c r="C2" s="10" t="s">
        <v>81</v>
      </c>
      <c r="D2" s="1"/>
      <c r="E2" s="1"/>
      <c r="F2" s="1"/>
      <c r="J2" s="10"/>
      <c r="K2" s="10"/>
      <c r="L2" s="1"/>
      <c r="M2" s="1"/>
    </row>
    <row r="3" spans="2:13" x14ac:dyDescent="0.25">
      <c r="B3" s="10" t="s">
        <v>3</v>
      </c>
      <c r="C3" s="11" t="s">
        <v>190</v>
      </c>
      <c r="D3" s="1"/>
      <c r="E3" s="1"/>
      <c r="F3" s="1"/>
      <c r="J3" s="10"/>
      <c r="K3" s="11"/>
      <c r="L3" s="1"/>
      <c r="M3" s="1"/>
    </row>
    <row r="4" spans="2:13" x14ac:dyDescent="0.25">
      <c r="B4" s="11" t="s">
        <v>4</v>
      </c>
      <c r="C4" s="11" t="s">
        <v>191</v>
      </c>
      <c r="D4" s="10"/>
      <c r="E4" s="10"/>
      <c r="F4" s="1"/>
      <c r="J4" s="11"/>
      <c r="K4" s="11"/>
      <c r="L4" s="10"/>
      <c r="M4" s="10"/>
    </row>
    <row r="5" spans="2:13" x14ac:dyDescent="0.25">
      <c r="B5" s="11" t="s">
        <v>6</v>
      </c>
      <c r="C5" s="11" t="s">
        <v>27</v>
      </c>
      <c r="D5" s="10"/>
      <c r="E5" s="10"/>
      <c r="F5" s="1"/>
      <c r="J5" s="11"/>
      <c r="K5" s="11"/>
      <c r="L5" s="10"/>
      <c r="M5" s="10"/>
    </row>
    <row r="6" spans="2:13" x14ac:dyDescent="0.25">
      <c r="B6" s="11" t="s">
        <v>12</v>
      </c>
      <c r="C6" s="11" t="s">
        <v>177</v>
      </c>
      <c r="D6" s="10"/>
      <c r="E6" s="10"/>
      <c r="F6" s="1"/>
      <c r="J6" s="11"/>
      <c r="K6" s="11"/>
      <c r="L6" s="10"/>
      <c r="M6" s="10"/>
    </row>
    <row r="7" spans="2:13" x14ac:dyDescent="0.25">
      <c r="B7" s="10" t="s">
        <v>11</v>
      </c>
      <c r="C7" s="10" t="s">
        <v>30</v>
      </c>
      <c r="D7" s="1"/>
      <c r="E7" s="1"/>
      <c r="F7" s="1"/>
      <c r="J7" s="10"/>
      <c r="K7" s="10"/>
      <c r="L7" s="1"/>
      <c r="M7" s="1"/>
    </row>
    <row r="8" spans="2:13" x14ac:dyDescent="0.25">
      <c r="B8" s="1"/>
      <c r="C8" s="1"/>
      <c r="D8" s="1"/>
      <c r="E8" s="1"/>
      <c r="F8" s="1"/>
      <c r="J8" s="1"/>
      <c r="K8" s="1"/>
      <c r="L8" s="1"/>
      <c r="M8" s="1"/>
    </row>
    <row r="10" spans="2:13" x14ac:dyDescent="0.25">
      <c r="B10" s="6" t="s">
        <v>10</v>
      </c>
      <c r="J10" s="6"/>
    </row>
    <row r="11" spans="2:13" x14ac:dyDescent="0.25">
      <c r="B11" t="s">
        <v>179</v>
      </c>
    </row>
    <row r="12" spans="2:13" x14ac:dyDescent="0.25">
      <c r="B12" t="s">
        <v>32</v>
      </c>
    </row>
    <row r="13" spans="2:13" x14ac:dyDescent="0.25">
      <c r="B13" t="s">
        <v>33</v>
      </c>
    </row>
    <row r="14" spans="2:13" x14ac:dyDescent="0.25">
      <c r="B14" t="s">
        <v>31</v>
      </c>
    </row>
    <row r="15" spans="2:13" x14ac:dyDescent="0.25">
      <c r="B15" t="s">
        <v>77</v>
      </c>
    </row>
    <row r="16" spans="2:13" x14ac:dyDescent="0.25">
      <c r="B16" t="s">
        <v>78</v>
      </c>
      <c r="H16" s="41"/>
      <c r="I16" s="41"/>
      <c r="J16" s="41"/>
      <c r="K16" s="41"/>
      <c r="L16" s="41"/>
    </row>
    <row r="17" spans="1:12" x14ac:dyDescent="0.25">
      <c r="B17" t="s">
        <v>41</v>
      </c>
      <c r="H17" s="41"/>
      <c r="I17" s="41"/>
      <c r="J17" s="41"/>
      <c r="K17" s="41"/>
      <c r="L17" s="41"/>
    </row>
    <row r="18" spans="1:12" x14ac:dyDescent="0.25">
      <c r="H18" s="41"/>
      <c r="I18" s="41"/>
      <c r="J18" s="41"/>
      <c r="K18" s="41"/>
      <c r="L18" s="41"/>
    </row>
    <row r="19" spans="1:12" x14ac:dyDescent="0.25">
      <c r="H19" s="41"/>
      <c r="I19" s="41"/>
      <c r="J19" s="41"/>
      <c r="K19" s="41"/>
      <c r="L19" s="41"/>
    </row>
    <row r="20" spans="1:12" x14ac:dyDescent="0.25">
      <c r="A20" s="40"/>
      <c r="B20" s="40"/>
      <c r="C20" s="6"/>
      <c r="D20" s="40"/>
      <c r="E20" s="40"/>
      <c r="F20" s="40"/>
      <c r="G20" s="40"/>
      <c r="H20" s="41"/>
      <c r="I20" s="41"/>
      <c r="J20" s="41"/>
      <c r="K20" s="41"/>
      <c r="L20" s="41"/>
    </row>
    <row r="21" spans="1:12" x14ac:dyDescent="0.25">
      <c r="A21" s="40"/>
      <c r="B21" s="40"/>
      <c r="C21" s="40"/>
      <c r="D21" s="40"/>
      <c r="E21" s="40"/>
      <c r="F21" s="40"/>
      <c r="H21" s="41"/>
      <c r="I21" s="41"/>
      <c r="J21" s="41"/>
      <c r="K21" s="41"/>
      <c r="L21" s="41"/>
    </row>
    <row r="22" spans="1:12" x14ac:dyDescent="0.25">
      <c r="A22" s="40"/>
      <c r="B22" s="40"/>
      <c r="C22" s="40"/>
      <c r="D22" s="40"/>
      <c r="E22" s="40"/>
      <c r="F22" s="40"/>
      <c r="H22" s="41"/>
      <c r="I22" s="41"/>
      <c r="J22" s="41"/>
      <c r="K22" s="41"/>
      <c r="L22" s="41"/>
    </row>
    <row r="23" spans="1:12" x14ac:dyDescent="0.25">
      <c r="A23" s="40"/>
      <c r="B23" s="40"/>
      <c r="C23" s="40"/>
      <c r="D23" s="40"/>
      <c r="E23" s="40"/>
      <c r="F23" s="40"/>
      <c r="H23" s="41"/>
      <c r="I23" s="41"/>
      <c r="J23" s="41"/>
      <c r="K23" s="41"/>
      <c r="L23" s="41"/>
    </row>
    <row r="24" spans="1:12" x14ac:dyDescent="0.25">
      <c r="H24" s="41"/>
      <c r="I24" s="41"/>
      <c r="J24" s="41"/>
      <c r="K24" s="41"/>
      <c r="L24" s="41"/>
    </row>
    <row r="25" spans="1:12" ht="17.25" x14ac:dyDescent="0.25">
      <c r="A25" t="s">
        <v>79</v>
      </c>
      <c r="B25" s="40" t="s">
        <v>47</v>
      </c>
      <c r="C25" s="6" t="s">
        <v>182</v>
      </c>
      <c r="F25" t="s">
        <v>178</v>
      </c>
      <c r="H25" s="41"/>
      <c r="I25" s="41"/>
      <c r="J25" s="41"/>
      <c r="K25" s="41"/>
      <c r="L25" s="41"/>
    </row>
    <row r="26" spans="1:12" ht="17.25" x14ac:dyDescent="0.25">
      <c r="B26" s="40" t="s">
        <v>48</v>
      </c>
      <c r="C26" s="40" t="s">
        <v>183</v>
      </c>
      <c r="H26" s="41"/>
      <c r="I26" s="41"/>
      <c r="J26" s="41"/>
      <c r="K26" s="41"/>
      <c r="L26" s="41"/>
    </row>
    <row r="27" spans="1:12" x14ac:dyDescent="0.25">
      <c r="B27" s="40" t="s">
        <v>49</v>
      </c>
      <c r="C27" s="40" t="s">
        <v>184</v>
      </c>
      <c r="H27" s="41"/>
      <c r="I27" s="41"/>
      <c r="J27" s="41"/>
      <c r="K27" s="41"/>
      <c r="L27" s="41"/>
    </row>
    <row r="28" spans="1:12" x14ac:dyDescent="0.25">
      <c r="B28" s="40" t="s">
        <v>50</v>
      </c>
      <c r="C28" s="40" t="s">
        <v>51</v>
      </c>
      <c r="H28" s="41"/>
      <c r="I28" s="41"/>
      <c r="J28" s="41"/>
      <c r="K28" s="41"/>
      <c r="L28" s="41"/>
    </row>
    <row r="29" spans="1:12" x14ac:dyDescent="0.25">
      <c r="H29" s="41"/>
      <c r="I29" s="41"/>
      <c r="J29" s="41"/>
      <c r="K29" s="41"/>
      <c r="L29" s="41"/>
    </row>
    <row r="30" spans="1:12" ht="17.25" x14ac:dyDescent="0.25">
      <c r="A30" s="40" t="s">
        <v>80</v>
      </c>
      <c r="B30" s="40" t="s">
        <v>47</v>
      </c>
      <c r="C30" s="6" t="s">
        <v>185</v>
      </c>
      <c r="D30" s="40"/>
      <c r="F30" s="40" t="s">
        <v>178</v>
      </c>
      <c r="H30" s="41"/>
      <c r="I30" s="41"/>
      <c r="J30" s="41"/>
      <c r="K30" s="41"/>
      <c r="L30" s="41"/>
    </row>
    <row r="31" spans="1:12" ht="17.25" x14ac:dyDescent="0.25">
      <c r="A31" s="40"/>
      <c r="B31" s="40" t="s">
        <v>48</v>
      </c>
      <c r="C31" s="40" t="s">
        <v>183</v>
      </c>
      <c r="D31" s="40"/>
      <c r="H31" s="41"/>
      <c r="I31" s="41"/>
      <c r="J31" s="41"/>
      <c r="K31" s="41"/>
      <c r="L31" s="41"/>
    </row>
    <row r="32" spans="1:12" x14ac:dyDescent="0.25">
      <c r="A32" s="40"/>
      <c r="B32" s="40" t="s">
        <v>49</v>
      </c>
      <c r="C32" s="40" t="s">
        <v>184</v>
      </c>
      <c r="D32" s="40"/>
      <c r="H32" s="41"/>
      <c r="I32" s="41"/>
      <c r="J32" s="41"/>
      <c r="K32" s="41"/>
      <c r="L32" s="41"/>
    </row>
    <row r="33" spans="1:12" x14ac:dyDescent="0.25">
      <c r="A33" s="40"/>
      <c r="B33" s="40" t="s">
        <v>50</v>
      </c>
      <c r="C33" s="40" t="s">
        <v>51</v>
      </c>
      <c r="D33" s="40"/>
      <c r="H33" s="41"/>
      <c r="I33" s="41"/>
      <c r="J33" s="41"/>
      <c r="K33" s="41"/>
      <c r="L33" s="41"/>
    </row>
    <row r="34" spans="1:12" x14ac:dyDescent="0.25">
      <c r="B34" s="40"/>
      <c r="C34" s="40"/>
      <c r="H34" s="41"/>
      <c r="I34" s="41"/>
      <c r="J34" s="41"/>
      <c r="K34" s="41"/>
      <c r="L34" s="41"/>
    </row>
    <row r="35" spans="1:12" ht="17.25" x14ac:dyDescent="0.25">
      <c r="A35" s="40" t="s">
        <v>131</v>
      </c>
      <c r="B35" s="40" t="s">
        <v>47</v>
      </c>
      <c r="C35" s="6" t="s">
        <v>187</v>
      </c>
      <c r="D35" s="40"/>
      <c r="F35" s="40" t="s">
        <v>178</v>
      </c>
      <c r="H35" s="41"/>
      <c r="I35" s="41"/>
      <c r="J35" s="41"/>
      <c r="K35" s="41"/>
      <c r="L35" s="41"/>
    </row>
    <row r="36" spans="1:12" ht="17.25" x14ac:dyDescent="0.25">
      <c r="A36" s="40"/>
      <c r="B36" s="40" t="s">
        <v>48</v>
      </c>
      <c r="C36" s="40" t="s">
        <v>186</v>
      </c>
      <c r="D36" s="40"/>
      <c r="H36" s="41"/>
      <c r="I36" s="41"/>
      <c r="J36" s="41"/>
      <c r="K36" s="41"/>
      <c r="L36" s="41"/>
    </row>
    <row r="37" spans="1:12" x14ac:dyDescent="0.25">
      <c r="A37" s="40"/>
      <c r="B37" s="40" t="s">
        <v>49</v>
      </c>
      <c r="C37" s="40" t="s">
        <v>184</v>
      </c>
      <c r="D37" s="40"/>
      <c r="H37" s="41"/>
      <c r="I37" s="41"/>
      <c r="J37" s="41"/>
      <c r="K37" s="41"/>
      <c r="L37" s="41"/>
    </row>
    <row r="38" spans="1:12" x14ac:dyDescent="0.25">
      <c r="A38" s="40"/>
      <c r="B38" s="40" t="s">
        <v>50</v>
      </c>
      <c r="C38" s="40" t="s">
        <v>51</v>
      </c>
      <c r="D38" s="4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2:Q58"/>
  <sheetViews>
    <sheetView workbookViewId="0">
      <selection sqref="A1:G44"/>
    </sheetView>
  </sheetViews>
  <sheetFormatPr defaultRowHeight="15" x14ac:dyDescent="0.25"/>
  <cols>
    <col min="1" max="1" width="23.140625" customWidth="1"/>
    <col min="2" max="2" width="16.85546875" customWidth="1"/>
    <col min="3" max="3" width="17.42578125" customWidth="1"/>
    <col min="4" max="4" width="22.28515625" customWidth="1"/>
    <col min="5" max="6" width="16.28515625" customWidth="1"/>
    <col min="7" max="7" width="23.140625" bestFit="1" customWidth="1"/>
    <col min="8" max="8" width="15" bestFit="1" customWidth="1"/>
    <col min="9" max="9" width="12.5703125" bestFit="1" customWidth="1"/>
    <col min="10" max="10" width="10.7109375" customWidth="1"/>
    <col min="11" max="11" width="11.140625" bestFit="1" customWidth="1"/>
    <col min="14" max="14" width="12.85546875" bestFit="1" customWidth="1"/>
    <col min="15" max="15" width="10.85546875" bestFit="1" customWidth="1"/>
  </cols>
  <sheetData>
    <row r="2" spans="1:17" x14ac:dyDescent="0.25">
      <c r="A2" s="10" t="s">
        <v>2</v>
      </c>
      <c r="B2" s="10" t="s">
        <v>81</v>
      </c>
      <c r="C2" s="10"/>
      <c r="D2" s="10"/>
    </row>
    <row r="3" spans="1:17" x14ac:dyDescent="0.25">
      <c r="A3" s="10" t="s">
        <v>3</v>
      </c>
      <c r="B3" s="11" t="s">
        <v>190</v>
      </c>
      <c r="C3" s="10"/>
      <c r="D3" s="10"/>
    </row>
    <row r="4" spans="1:17" x14ac:dyDescent="0.25">
      <c r="A4" s="11" t="s">
        <v>13</v>
      </c>
      <c r="B4" s="11" t="s">
        <v>75</v>
      </c>
      <c r="C4" s="10"/>
      <c r="D4" s="10"/>
    </row>
    <row r="5" spans="1:17" x14ac:dyDescent="0.25">
      <c r="A5" s="11" t="s">
        <v>7</v>
      </c>
      <c r="B5" s="11" t="s">
        <v>28</v>
      </c>
      <c r="C5" s="10"/>
      <c r="D5" s="10"/>
    </row>
    <row r="6" spans="1:17" x14ac:dyDescent="0.25">
      <c r="A6" s="11" t="s">
        <v>14</v>
      </c>
      <c r="B6" s="12">
        <v>375</v>
      </c>
      <c r="C6" s="10"/>
      <c r="D6" s="10"/>
    </row>
    <row r="7" spans="1:17" x14ac:dyDescent="0.25">
      <c r="A7" s="11" t="s">
        <v>15</v>
      </c>
      <c r="B7" s="10">
        <v>50000</v>
      </c>
      <c r="C7" s="10"/>
      <c r="D7" s="10"/>
    </row>
    <row r="8" spans="1:17" x14ac:dyDescent="0.25">
      <c r="A8" s="11" t="s">
        <v>16</v>
      </c>
      <c r="B8" s="10">
        <v>10</v>
      </c>
      <c r="C8" s="10"/>
      <c r="D8" s="10"/>
    </row>
    <row r="9" spans="1:17" x14ac:dyDescent="0.25">
      <c r="A9" s="11" t="s">
        <v>8</v>
      </c>
      <c r="B9" s="10" t="s">
        <v>194</v>
      </c>
      <c r="C9" s="10"/>
      <c r="D9" s="10"/>
    </row>
    <row r="10" spans="1:17" x14ac:dyDescent="0.25">
      <c r="A10" s="11" t="s">
        <v>21</v>
      </c>
      <c r="B10" s="11" t="s">
        <v>34</v>
      </c>
      <c r="C10" s="10"/>
      <c r="D10" s="10"/>
    </row>
    <row r="11" spans="1:17" x14ac:dyDescent="0.25">
      <c r="A11" s="11" t="s">
        <v>22</v>
      </c>
      <c r="B11" s="10" t="s">
        <v>23</v>
      </c>
      <c r="C11" s="10"/>
      <c r="D11" s="10"/>
    </row>
    <row r="12" spans="1:17" x14ac:dyDescent="0.25">
      <c r="A12" s="11"/>
      <c r="B12" s="10"/>
      <c r="C12" s="10"/>
      <c r="D12" s="10"/>
    </row>
    <row r="13" spans="1:17" x14ac:dyDescent="0.25">
      <c r="I13" s="5"/>
      <c r="J13" s="5"/>
    </row>
    <row r="14" spans="1:17" x14ac:dyDescent="0.25">
      <c r="A14" t="s">
        <v>119</v>
      </c>
    </row>
    <row r="15" spans="1:17" x14ac:dyDescent="0.25">
      <c r="A15" s="40" t="s">
        <v>72</v>
      </c>
      <c r="B15" s="40"/>
      <c r="C15" s="40"/>
      <c r="D15" s="40"/>
      <c r="F15" s="41"/>
      <c r="G15" s="41"/>
      <c r="H15" s="41"/>
      <c r="I15" s="42"/>
      <c r="J15" s="42"/>
      <c r="K15" s="42"/>
      <c r="L15" s="42"/>
      <c r="M15" s="42"/>
      <c r="N15" s="42"/>
      <c r="O15" s="42"/>
      <c r="P15" s="42"/>
      <c r="Q15" s="42"/>
    </row>
    <row r="16" spans="1:17" x14ac:dyDescent="0.25">
      <c r="A16" s="1" t="s">
        <v>35</v>
      </c>
      <c r="B16" s="33" t="s">
        <v>121</v>
      </c>
      <c r="C16" s="33" t="s">
        <v>122</v>
      </c>
      <c r="D16" s="33" t="s">
        <v>73</v>
      </c>
      <c r="E16" s="71" t="s">
        <v>195</v>
      </c>
      <c r="F16" s="71" t="s">
        <v>197</v>
      </c>
      <c r="G16" s="71" t="s">
        <v>196</v>
      </c>
      <c r="H16" s="45"/>
      <c r="I16" s="45"/>
      <c r="J16" s="45"/>
      <c r="K16" s="45"/>
      <c r="L16" s="45"/>
      <c r="M16" s="42"/>
      <c r="N16" s="42"/>
      <c r="O16" s="45"/>
      <c r="P16" s="42"/>
      <c r="Q16" s="42"/>
    </row>
    <row r="17" spans="1:17" x14ac:dyDescent="0.25">
      <c r="A17" s="1"/>
      <c r="B17" s="33" t="s">
        <v>121</v>
      </c>
      <c r="C17" s="33" t="s">
        <v>122</v>
      </c>
      <c r="D17" s="33" t="s">
        <v>73</v>
      </c>
      <c r="E17" s="71" t="s">
        <v>195</v>
      </c>
      <c r="F17" s="71" t="s">
        <v>197</v>
      </c>
      <c r="G17" s="71" t="s">
        <v>196</v>
      </c>
      <c r="H17" s="45"/>
      <c r="I17" s="45"/>
      <c r="J17" s="45"/>
      <c r="K17" s="45"/>
      <c r="L17" s="45"/>
      <c r="M17" s="42"/>
      <c r="N17" s="42"/>
      <c r="O17" s="45"/>
      <c r="P17" s="42"/>
      <c r="Q17" s="42"/>
    </row>
    <row r="18" spans="1:17" x14ac:dyDescent="0.25">
      <c r="A18" s="1" t="s">
        <v>36</v>
      </c>
      <c r="B18" s="33" t="s">
        <v>121</v>
      </c>
      <c r="C18" s="33" t="s">
        <v>122</v>
      </c>
      <c r="D18" s="33" t="s">
        <v>73</v>
      </c>
      <c r="E18" s="71" t="s">
        <v>195</v>
      </c>
      <c r="F18" s="71" t="s">
        <v>197</v>
      </c>
      <c r="G18" s="71" t="s">
        <v>196</v>
      </c>
      <c r="H18" s="45"/>
      <c r="I18" s="45"/>
      <c r="J18" s="45"/>
      <c r="K18" s="45"/>
      <c r="L18" s="45"/>
      <c r="M18" s="42"/>
      <c r="N18" s="42"/>
      <c r="O18" s="45"/>
      <c r="P18" s="42"/>
      <c r="Q18" s="42"/>
    </row>
    <row r="19" spans="1:17" x14ac:dyDescent="0.25">
      <c r="A19" s="1"/>
      <c r="B19" s="33" t="s">
        <v>121</v>
      </c>
      <c r="C19" s="33" t="s">
        <v>122</v>
      </c>
      <c r="D19" s="33" t="s">
        <v>73</v>
      </c>
      <c r="E19" s="71" t="s">
        <v>195</v>
      </c>
      <c r="F19" s="71" t="s">
        <v>197</v>
      </c>
      <c r="G19" s="71" t="s">
        <v>196</v>
      </c>
      <c r="H19" s="45"/>
      <c r="I19" s="42"/>
      <c r="J19" s="45"/>
      <c r="K19" s="45"/>
      <c r="L19" s="45"/>
      <c r="M19" s="42"/>
      <c r="N19" s="42"/>
      <c r="O19" s="45"/>
      <c r="P19" s="42"/>
      <c r="Q19" s="42"/>
    </row>
    <row r="20" spans="1:17" s="40" customFormat="1" x14ac:dyDescent="0.25">
      <c r="A20" s="1"/>
      <c r="B20" s="45"/>
      <c r="C20" s="45"/>
      <c r="D20" s="45"/>
      <c r="E20" s="42"/>
      <c r="F20" s="37"/>
      <c r="G20" s="45"/>
      <c r="H20" s="45"/>
      <c r="I20" s="42"/>
      <c r="J20" s="45"/>
      <c r="K20" s="45"/>
      <c r="L20" s="45"/>
      <c r="M20" s="42"/>
      <c r="N20" s="37"/>
      <c r="O20" s="45"/>
    </row>
    <row r="21" spans="1:17" x14ac:dyDescent="0.25">
      <c r="A21" s="42"/>
      <c r="B21" s="42"/>
      <c r="C21" s="42"/>
      <c r="D21" s="42"/>
      <c r="E21" s="42"/>
      <c r="F21" s="42"/>
      <c r="G21" s="42"/>
      <c r="H21" s="42"/>
      <c r="I21" s="49"/>
      <c r="J21" s="42"/>
      <c r="K21" s="42"/>
    </row>
    <row r="22" spans="1:17" x14ac:dyDescent="0.25">
      <c r="A22" s="34" t="s">
        <v>123</v>
      </c>
      <c r="B22" s="40"/>
      <c r="C22" s="40"/>
      <c r="D22" s="40"/>
      <c r="E22" s="40"/>
      <c r="F22" s="40"/>
      <c r="G22" s="40"/>
      <c r="H22" s="40"/>
      <c r="I22" s="40"/>
      <c r="J22" s="42"/>
      <c r="K22" s="42"/>
    </row>
    <row r="23" spans="1:17" x14ac:dyDescent="0.25">
      <c r="A23" s="37" t="s">
        <v>35</v>
      </c>
      <c r="B23" s="34" t="s">
        <v>128</v>
      </c>
      <c r="C23" s="45" t="s">
        <v>76</v>
      </c>
      <c r="D23" s="40" t="s">
        <v>74</v>
      </c>
      <c r="E23" s="40" t="s">
        <v>125</v>
      </c>
      <c r="F23" t="s">
        <v>126</v>
      </c>
      <c r="G23" t="s">
        <v>127</v>
      </c>
      <c r="I23" s="37" t="s">
        <v>36</v>
      </c>
      <c r="J23" s="34" t="s">
        <v>128</v>
      </c>
      <c r="K23" s="45" t="s">
        <v>76</v>
      </c>
      <c r="L23" s="40" t="s">
        <v>74</v>
      </c>
      <c r="M23" s="40" t="s">
        <v>125</v>
      </c>
      <c r="N23" s="40" t="s">
        <v>126</v>
      </c>
      <c r="O23" s="40" t="s">
        <v>127</v>
      </c>
    </row>
    <row r="24" spans="1:17" x14ac:dyDescent="0.25">
      <c r="A24" s="37" t="s">
        <v>121</v>
      </c>
      <c r="B24" s="50">
        <v>4</v>
      </c>
      <c r="C24" s="45">
        <f>4*375</f>
        <v>1500</v>
      </c>
      <c r="D24" s="40">
        <v>2000</v>
      </c>
      <c r="E24" s="40">
        <v>200</v>
      </c>
      <c r="F24">
        <f>D24/E24</f>
        <v>10</v>
      </c>
      <c r="G24">
        <f>D24-F24</f>
        <v>1990</v>
      </c>
      <c r="I24" s="37" t="s">
        <v>121</v>
      </c>
      <c r="J24" s="51">
        <v>4</v>
      </c>
      <c r="K24" s="45">
        <f>6*375</f>
        <v>2250</v>
      </c>
      <c r="L24" s="40">
        <v>2500</v>
      </c>
      <c r="M24" s="40">
        <v>200</v>
      </c>
      <c r="N24" s="40">
        <f>L24/M24</f>
        <v>12.5</v>
      </c>
      <c r="O24" s="40">
        <f>L24-N24</f>
        <v>2487.5</v>
      </c>
    </row>
    <row r="25" spans="1:17" x14ac:dyDescent="0.25">
      <c r="A25" s="37" t="s">
        <v>194</v>
      </c>
      <c r="B25" s="51">
        <v>4</v>
      </c>
      <c r="C25" s="45">
        <f t="shared" ref="C25:C27" si="0">4*375</f>
        <v>1500</v>
      </c>
      <c r="D25" s="40">
        <v>2000</v>
      </c>
      <c r="E25" s="40">
        <v>200</v>
      </c>
      <c r="F25" s="40">
        <f t="shared" ref="F25" si="1">D25/E25</f>
        <v>10</v>
      </c>
      <c r="G25" s="40">
        <f t="shared" ref="G25" si="2">D25-F25</f>
        <v>1990</v>
      </c>
      <c r="I25" s="37" t="s">
        <v>120</v>
      </c>
      <c r="J25" s="51">
        <v>4</v>
      </c>
      <c r="K25" s="45">
        <f t="shared" ref="K25:K27" si="3">6*375</f>
        <v>2250</v>
      </c>
      <c r="L25" s="40">
        <v>2500</v>
      </c>
      <c r="M25" s="40">
        <v>200</v>
      </c>
      <c r="N25" s="40">
        <f t="shared" ref="N25" si="4">L25/M25</f>
        <v>12.5</v>
      </c>
      <c r="O25" s="40">
        <f t="shared" ref="O25" si="5">L25-N25</f>
        <v>2487.5</v>
      </c>
    </row>
    <row r="26" spans="1:17" x14ac:dyDescent="0.25">
      <c r="A26" s="37" t="s">
        <v>122</v>
      </c>
      <c r="B26" s="51">
        <v>4</v>
      </c>
      <c r="C26" s="45">
        <f t="shared" si="0"/>
        <v>1500</v>
      </c>
      <c r="D26" s="40">
        <v>2000</v>
      </c>
      <c r="E26" s="40">
        <v>100</v>
      </c>
      <c r="F26" s="40">
        <f>D26/E26</f>
        <v>20</v>
      </c>
      <c r="G26" s="40">
        <f>D26-F26</f>
        <v>1980</v>
      </c>
      <c r="H26" s="40"/>
      <c r="I26" s="37" t="s">
        <v>122</v>
      </c>
      <c r="J26" s="51">
        <v>4</v>
      </c>
      <c r="K26" s="45">
        <f t="shared" si="3"/>
        <v>2250</v>
      </c>
      <c r="L26" s="40">
        <v>2500</v>
      </c>
      <c r="M26" s="40">
        <v>100</v>
      </c>
      <c r="N26" s="40">
        <f>L26/M26</f>
        <v>25</v>
      </c>
      <c r="O26" s="40">
        <f>L26-N26</f>
        <v>2475</v>
      </c>
    </row>
    <row r="27" spans="1:17" x14ac:dyDescent="0.25">
      <c r="A27" s="37" t="s">
        <v>124</v>
      </c>
      <c r="B27" s="51">
        <v>4</v>
      </c>
      <c r="C27" s="45">
        <f t="shared" si="0"/>
        <v>1500</v>
      </c>
      <c r="D27" s="40">
        <v>2000</v>
      </c>
      <c r="E27" s="40">
        <v>100</v>
      </c>
      <c r="F27" s="40">
        <f>D27/E27</f>
        <v>20</v>
      </c>
      <c r="G27" s="40">
        <f>D27-F27</f>
        <v>1980</v>
      </c>
      <c r="H27" s="40"/>
      <c r="I27" s="37" t="s">
        <v>124</v>
      </c>
      <c r="J27" s="51">
        <v>4</v>
      </c>
      <c r="K27" s="45">
        <f t="shared" si="3"/>
        <v>2250</v>
      </c>
      <c r="L27" s="40">
        <v>2500</v>
      </c>
      <c r="M27" s="40">
        <v>100</v>
      </c>
      <c r="N27" s="40">
        <f>L27/M27</f>
        <v>25</v>
      </c>
      <c r="O27" s="40">
        <f>L27-N27</f>
        <v>2475</v>
      </c>
    </row>
    <row r="28" spans="1:17" x14ac:dyDescent="0.25">
      <c r="A28" s="37"/>
      <c r="B28" s="52"/>
      <c r="C28" s="45"/>
      <c r="D28" s="40"/>
      <c r="E28" s="40"/>
      <c r="F28" s="40"/>
      <c r="G28" s="40"/>
      <c r="I28" s="37"/>
      <c r="J28" s="52"/>
      <c r="K28" s="45"/>
      <c r="L28" s="40"/>
      <c r="M28" s="40"/>
      <c r="N28" s="40"/>
      <c r="O28" s="40"/>
    </row>
    <row r="29" spans="1:17" s="40" customFormat="1" x14ac:dyDescent="0.25">
      <c r="A29" s="37" t="s">
        <v>170</v>
      </c>
      <c r="B29" s="50"/>
      <c r="C29" s="45"/>
      <c r="F29" s="37"/>
      <c r="G29" s="50"/>
      <c r="H29" s="45"/>
      <c r="J29" s="42"/>
      <c r="K29" s="42"/>
      <c r="L29" s="42"/>
    </row>
    <row r="30" spans="1:17" s="40" customFormat="1" x14ac:dyDescent="0.25">
      <c r="A30" s="37"/>
      <c r="B30" s="50"/>
      <c r="C30" s="45"/>
      <c r="F30" s="37"/>
      <c r="G30" s="50"/>
      <c r="H30" s="45"/>
      <c r="J30" s="42"/>
      <c r="K30" s="42"/>
      <c r="L30" s="42"/>
    </row>
    <row r="31" spans="1:17" x14ac:dyDescent="0.25">
      <c r="G31" s="34" t="s">
        <v>169</v>
      </c>
      <c r="I31" s="13"/>
      <c r="O31" s="40"/>
    </row>
    <row r="32" spans="1:17" x14ac:dyDescent="0.25">
      <c r="A32" s="6" t="s">
        <v>42</v>
      </c>
      <c r="D32" s="46"/>
      <c r="E32" s="42"/>
      <c r="G32" s="37"/>
      <c r="J32" s="40"/>
      <c r="O32" s="40"/>
    </row>
    <row r="33" spans="1:16" x14ac:dyDescent="0.25">
      <c r="G33" s="37"/>
      <c r="H33" s="36"/>
      <c r="J33">
        <f>34*3</f>
        <v>102</v>
      </c>
    </row>
    <row r="34" spans="1:16" x14ac:dyDescent="0.25">
      <c r="A34" s="6" t="s">
        <v>35</v>
      </c>
      <c r="C34" s="31"/>
      <c r="D34" s="6" t="s">
        <v>36</v>
      </c>
      <c r="G34" s="37"/>
      <c r="H34" s="36"/>
      <c r="I34" s="40"/>
      <c r="J34" s="40"/>
      <c r="K34" s="40"/>
      <c r="L34" s="40"/>
    </row>
    <row r="35" spans="1:16" x14ac:dyDescent="0.25">
      <c r="A35" s="157" t="s">
        <v>188</v>
      </c>
      <c r="B35" s="30">
        <v>807982</v>
      </c>
      <c r="C35" s="31"/>
      <c r="D35" s="21" t="s">
        <v>117</v>
      </c>
      <c r="E35" s="32">
        <v>345962</v>
      </c>
      <c r="G35" s="48">
        <f>24300*B7/B6</f>
        <v>3240000</v>
      </c>
      <c r="H35" s="34"/>
      <c r="I35" s="40"/>
      <c r="J35" s="40"/>
      <c r="K35" s="40"/>
      <c r="L35" s="40"/>
      <c r="M35" s="41"/>
      <c r="N35" s="41"/>
    </row>
    <row r="36" spans="1:16" x14ac:dyDescent="0.25">
      <c r="A36" s="22" t="s">
        <v>38</v>
      </c>
      <c r="B36" s="32">
        <f>B35/5</f>
        <v>161596.4</v>
      </c>
      <c r="D36" s="22" t="s">
        <v>26</v>
      </c>
      <c r="E36" s="32">
        <f>E35/5</f>
        <v>69192.399999999994</v>
      </c>
      <c r="G36" s="43"/>
      <c r="H36" s="42"/>
      <c r="I36" s="41"/>
      <c r="J36" s="41"/>
      <c r="K36" s="41"/>
      <c r="L36" s="41"/>
      <c r="M36" s="41"/>
      <c r="N36" s="41"/>
      <c r="P36" s="40"/>
    </row>
    <row r="37" spans="1:16" x14ac:dyDescent="0.25">
      <c r="A37" s="22"/>
      <c r="B37" s="23"/>
      <c r="D37" s="22"/>
      <c r="E37" s="23"/>
      <c r="G37" s="42">
        <f>6*D24</f>
        <v>12000</v>
      </c>
      <c r="H37" s="42"/>
      <c r="I37" s="41"/>
      <c r="J37" s="41"/>
      <c r="K37" s="41"/>
      <c r="L37" s="41"/>
      <c r="M37" s="41"/>
      <c r="N37" s="41"/>
    </row>
    <row r="38" spans="1:16" x14ac:dyDescent="0.25">
      <c r="A38" s="22" t="s">
        <v>17</v>
      </c>
      <c r="B38" s="38">
        <v>30</v>
      </c>
      <c r="C38" s="40">
        <f>36*3</f>
        <v>108</v>
      </c>
      <c r="D38" s="22" t="s">
        <v>17</v>
      </c>
      <c r="E38" s="38">
        <v>30</v>
      </c>
      <c r="G38" s="43"/>
      <c r="H38" s="42"/>
      <c r="I38" s="41"/>
      <c r="J38" s="41"/>
      <c r="K38" s="41"/>
      <c r="L38" s="41"/>
    </row>
    <row r="39" spans="1:16" x14ac:dyDescent="0.25">
      <c r="A39" s="22" t="s">
        <v>18</v>
      </c>
      <c r="B39" s="61">
        <v>1.2</v>
      </c>
      <c r="D39" s="22" t="s">
        <v>18</v>
      </c>
      <c r="E39" s="61">
        <v>1.2</v>
      </c>
      <c r="G39" s="47"/>
      <c r="H39" s="47"/>
      <c r="I39" s="41"/>
      <c r="J39" s="41"/>
      <c r="K39" s="40"/>
      <c r="L39" s="40"/>
    </row>
    <row r="40" spans="1:16" x14ac:dyDescent="0.25">
      <c r="A40" s="22" t="s">
        <v>20</v>
      </c>
      <c r="B40" s="23">
        <f>B6*B38*B39/1000</f>
        <v>13.5</v>
      </c>
      <c r="D40" s="22" t="s">
        <v>20</v>
      </c>
      <c r="E40" s="23">
        <f>B6*E38*E39/1000</f>
        <v>13.5</v>
      </c>
      <c r="G40" s="35"/>
      <c r="H40" s="35"/>
      <c r="I40" s="40"/>
      <c r="J40" s="40"/>
      <c r="K40" s="40"/>
      <c r="L40" s="40"/>
    </row>
    <row r="41" spans="1:16" x14ac:dyDescent="0.25">
      <c r="A41" s="22" t="s">
        <v>39</v>
      </c>
      <c r="B41" s="24">
        <f>(B7/B36)*B38*B39</f>
        <v>11.138862004351582</v>
      </c>
      <c r="D41" s="22" t="s">
        <v>19</v>
      </c>
      <c r="E41" s="24">
        <f>(B7/E36)*E38*E39</f>
        <v>26.014417768425435</v>
      </c>
      <c r="G41" s="34"/>
      <c r="H41" s="34"/>
    </row>
    <row r="42" spans="1:16" x14ac:dyDescent="0.25">
      <c r="A42" s="25" t="s">
        <v>40</v>
      </c>
      <c r="B42" s="26">
        <f>B40</f>
        <v>13.5</v>
      </c>
      <c r="D42" s="25" t="s">
        <v>37</v>
      </c>
      <c r="E42" s="26">
        <f>E40</f>
        <v>13.5</v>
      </c>
      <c r="G42" s="34"/>
      <c r="H42" s="34"/>
    </row>
    <row r="43" spans="1:16" x14ac:dyDescent="0.25">
      <c r="D43" s="42"/>
      <c r="E43" s="42"/>
      <c r="G43" s="34"/>
      <c r="H43" s="34"/>
    </row>
    <row r="45" spans="1:16" x14ac:dyDescent="0.25">
      <c r="A45" s="6"/>
    </row>
    <row r="47" spans="1:16" x14ac:dyDescent="0.25">
      <c r="C47" s="31"/>
    </row>
    <row r="48" spans="1:16" x14ac:dyDescent="0.25">
      <c r="C48" s="31"/>
    </row>
    <row r="49" spans="1:4" x14ac:dyDescent="0.25">
      <c r="C49" s="31"/>
    </row>
    <row r="50" spans="1:4" x14ac:dyDescent="0.25">
      <c r="C50" s="31"/>
    </row>
    <row r="53" spans="1:4" x14ac:dyDescent="0.25">
      <c r="A53" s="6"/>
    </row>
    <row r="55" spans="1:4" x14ac:dyDescent="0.25">
      <c r="C55" s="31"/>
      <c r="D55" s="29"/>
    </row>
    <row r="56" spans="1:4" x14ac:dyDescent="0.25">
      <c r="C56" s="31"/>
      <c r="D56" s="29"/>
    </row>
    <row r="57" spans="1:4" x14ac:dyDescent="0.25">
      <c r="C57" s="31"/>
      <c r="D57" s="29"/>
    </row>
    <row r="58" spans="1:4" x14ac:dyDescent="0.25">
      <c r="C58" s="31"/>
      <c r="D58" s="29"/>
    </row>
  </sheetData>
  <pageMargins left="0.7" right="0.7" top="0.75" bottom="0.75" header="0.3" footer="0.3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37"/>
  <sheetViews>
    <sheetView workbookViewId="0">
      <selection activeCell="M15" sqref="M15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24.7109375" customWidth="1"/>
    <col min="4" max="4" width="17.42578125" customWidth="1"/>
    <col min="5" max="5" width="6.7109375" customWidth="1"/>
    <col min="6" max="6" width="5" customWidth="1"/>
    <col min="7" max="8" width="4.140625" bestFit="1" customWidth="1"/>
    <col min="9" max="9" width="6" bestFit="1" customWidth="1"/>
    <col min="10" max="10" width="12.28515625" bestFit="1" customWidth="1"/>
    <col min="11" max="11" width="11.85546875" bestFit="1" customWidth="1"/>
    <col min="12" max="12" width="9.7109375" customWidth="1"/>
    <col min="13" max="13" width="12" bestFit="1" customWidth="1"/>
    <col min="14" max="14" width="9.28515625" bestFit="1" customWidth="1"/>
    <col min="15" max="15" width="19" customWidth="1"/>
  </cols>
  <sheetData>
    <row r="1" spans="1:19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 t="s">
        <v>68</v>
      </c>
      <c r="P2" s="40" t="s">
        <v>66</v>
      </c>
      <c r="Q2" s="29" t="s">
        <v>69</v>
      </c>
      <c r="R2" s="40"/>
      <c r="S2" s="40" t="s">
        <v>180</v>
      </c>
    </row>
    <row r="3" spans="1:19" x14ac:dyDescent="0.25">
      <c r="A3" s="40"/>
      <c r="B3" s="40"/>
      <c r="C3" s="14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 t="s">
        <v>67</v>
      </c>
      <c r="Q3" s="29" t="s">
        <v>69</v>
      </c>
      <c r="R3" s="40"/>
      <c r="S3" s="40"/>
    </row>
    <row r="4" spans="1:19" x14ac:dyDescent="0.25">
      <c r="A4" s="40"/>
      <c r="B4" s="40"/>
      <c r="C4" s="1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28"/>
      <c r="R4" s="40"/>
      <c r="S4" s="40"/>
    </row>
    <row r="5" spans="1:19" x14ac:dyDescent="0.25">
      <c r="A5" s="40"/>
      <c r="B5" s="40"/>
      <c r="C5" s="14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28"/>
      <c r="R5" s="40"/>
      <c r="S5" s="40"/>
    </row>
    <row r="6" spans="1:19" x14ac:dyDescent="0.25">
      <c r="A6" s="40"/>
      <c r="B6" s="40"/>
      <c r="C6" s="14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</row>
    <row r="7" spans="1:19" x14ac:dyDescent="0.25">
      <c r="A7" s="40"/>
      <c r="B7" s="40"/>
      <c r="C7" s="14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</row>
    <row r="8" spans="1:19" x14ac:dyDescent="0.25">
      <c r="A8" s="40"/>
      <c r="B8" s="40"/>
      <c r="C8" s="14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</row>
    <row r="9" spans="1:19" x14ac:dyDescent="0.25">
      <c r="A9" s="40"/>
      <c r="B9" s="40"/>
      <c r="C9" s="14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</row>
    <row r="10" spans="1:19" x14ac:dyDescent="0.25">
      <c r="A10" s="40"/>
      <c r="B10" s="40"/>
      <c r="C10" s="14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</row>
    <row r="11" spans="1:19" x14ac:dyDescent="0.25">
      <c r="A11" s="40"/>
      <c r="B11" s="40"/>
      <c r="C11" s="14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</row>
    <row r="12" spans="1:19" x14ac:dyDescent="0.25">
      <c r="A12" s="40"/>
      <c r="B12" s="40"/>
      <c r="C12" s="14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4" spans="1:19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9" x14ac:dyDescent="0.25">
      <c r="A15" s="40"/>
      <c r="B15" s="40"/>
      <c r="C15" s="14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29"/>
      <c r="R15" s="40"/>
      <c r="S15" s="40"/>
    </row>
    <row r="16" spans="1:19" x14ac:dyDescent="0.25">
      <c r="A16" s="40"/>
      <c r="B16" s="40"/>
      <c r="C16" s="14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28"/>
      <c r="R16" s="40"/>
      <c r="S16" s="40"/>
    </row>
    <row r="17" spans="1:19" x14ac:dyDescent="0.25">
      <c r="A17" s="40"/>
      <c r="B17" s="40"/>
      <c r="C17" s="14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R17" s="40"/>
      <c r="S17" s="40"/>
    </row>
    <row r="18" spans="1:19" x14ac:dyDescent="0.25">
      <c r="A18" s="40"/>
      <c r="B18" s="40"/>
      <c r="C18" s="14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R18" s="40"/>
      <c r="S18" s="40"/>
    </row>
    <row r="19" spans="1:19" x14ac:dyDescent="0.25">
      <c r="A19" s="40"/>
      <c r="B19" s="40"/>
      <c r="C19" s="14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spans="1:19" x14ac:dyDescent="0.25">
      <c r="A20" s="40"/>
      <c r="B20" s="40"/>
      <c r="C20" s="14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19" x14ac:dyDescent="0.25">
      <c r="A21" s="40"/>
      <c r="B21" s="40"/>
      <c r="C21" s="14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9" x14ac:dyDescent="0.25">
      <c r="A22" s="40"/>
      <c r="B22" s="40"/>
      <c r="C22" s="14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9" x14ac:dyDescent="0.25">
      <c r="A23" s="40"/>
      <c r="B23" s="40"/>
      <c r="C23" s="14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 spans="1:19" x14ac:dyDescent="0.25">
      <c r="A24" s="40"/>
      <c r="B24" s="40"/>
      <c r="C24" s="14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7" spans="1:19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</row>
    <row r="28" spans="1:19" x14ac:dyDescent="0.25">
      <c r="A28" s="40"/>
      <c r="B28" s="40"/>
      <c r="C28" s="14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29"/>
      <c r="R28" s="40"/>
      <c r="S28" s="40"/>
    </row>
    <row r="29" spans="1:19" x14ac:dyDescent="0.25">
      <c r="A29" s="40"/>
      <c r="B29" s="40"/>
      <c r="C29" s="14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R29" s="40"/>
      <c r="S29" s="40"/>
    </row>
    <row r="30" spans="1:19" x14ac:dyDescent="0.25">
      <c r="A30" s="40"/>
      <c r="B30" s="40"/>
      <c r="C30" s="14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</row>
    <row r="31" spans="1:19" x14ac:dyDescent="0.25">
      <c r="A31" s="40"/>
      <c r="B31" s="40"/>
      <c r="C31" s="14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</row>
    <row r="32" spans="1:19" x14ac:dyDescent="0.25">
      <c r="A32" s="40"/>
      <c r="B32" s="40"/>
      <c r="C32" s="14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</row>
    <row r="33" spans="1:14" x14ac:dyDescent="0.25">
      <c r="A33" s="40"/>
      <c r="B33" s="40"/>
      <c r="C33" s="14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14" x14ac:dyDescent="0.25">
      <c r="A34" s="40"/>
      <c r="B34" s="40"/>
      <c r="C34" s="14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</row>
    <row r="35" spans="1:14" x14ac:dyDescent="0.25">
      <c r="A35" s="40"/>
      <c r="B35" s="40"/>
      <c r="C35" s="14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  <row r="36" spans="1:14" x14ac:dyDescent="0.25">
      <c r="A36" s="40"/>
      <c r="B36" s="40"/>
      <c r="C36" s="14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  <row r="37" spans="1:14" x14ac:dyDescent="0.25">
      <c r="A37" s="40"/>
      <c r="B37" s="40"/>
      <c r="C37" s="14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V293"/>
  <sheetViews>
    <sheetView workbookViewId="0">
      <selection activeCell="L26" sqref="L26"/>
    </sheetView>
  </sheetViews>
  <sheetFormatPr defaultRowHeight="15" x14ac:dyDescent="0.25"/>
  <cols>
    <col min="1" max="14" width="9.140625" style="40"/>
    <col min="15" max="15" width="11" bestFit="1" customWidth="1"/>
    <col min="16" max="17" width="9.140625" style="40"/>
  </cols>
  <sheetData>
    <row r="1" spans="1:21" x14ac:dyDescent="0.25">
      <c r="A1" s="40" t="s">
        <v>52</v>
      </c>
      <c r="B1" s="40" t="s">
        <v>53</v>
      </c>
      <c r="C1" s="40" t="s">
        <v>54</v>
      </c>
      <c r="D1" s="40" t="s">
        <v>55</v>
      </c>
      <c r="E1" s="40" t="s">
        <v>56</v>
      </c>
      <c r="F1" s="40" t="s">
        <v>57</v>
      </c>
      <c r="G1" s="40" t="s">
        <v>58</v>
      </c>
      <c r="H1" s="40" t="s">
        <v>59</v>
      </c>
      <c r="I1" s="40" t="s">
        <v>60</v>
      </c>
      <c r="J1" s="40" t="s">
        <v>61</v>
      </c>
      <c r="K1" s="40" t="s">
        <v>62</v>
      </c>
      <c r="L1" s="40" t="s">
        <v>63</v>
      </c>
      <c r="M1" s="40" t="s">
        <v>64</v>
      </c>
      <c r="N1" s="40" t="s">
        <v>65</v>
      </c>
    </row>
    <row r="2" spans="1:21" ht="15" customHeight="1" x14ac:dyDescent="0.25">
      <c r="A2" s="40">
        <v>65</v>
      </c>
      <c r="B2" s="40" t="s">
        <v>201</v>
      </c>
      <c r="C2" s="14">
        <v>45378.664780092593</v>
      </c>
      <c r="D2" s="40">
        <v>0</v>
      </c>
      <c r="E2" s="40">
        <v>4669</v>
      </c>
      <c r="F2" s="40">
        <v>1</v>
      </c>
      <c r="G2" s="40">
        <v>1</v>
      </c>
      <c r="H2" s="40">
        <v>1</v>
      </c>
      <c r="I2" s="40">
        <v>300.02999999999997</v>
      </c>
      <c r="K2" s="40">
        <v>35108.400000000001</v>
      </c>
      <c r="L2" s="40">
        <v>7026.73</v>
      </c>
      <c r="M2" s="40">
        <v>1.2</v>
      </c>
      <c r="O2" s="40" t="s">
        <v>198</v>
      </c>
      <c r="P2" s="173" t="s">
        <v>35</v>
      </c>
      <c r="Q2" s="174" t="s">
        <v>130</v>
      </c>
      <c r="R2" s="1"/>
    </row>
    <row r="3" spans="1:21" x14ac:dyDescent="0.25">
      <c r="A3" s="40">
        <v>65</v>
      </c>
      <c r="B3" s="40" t="s">
        <v>201</v>
      </c>
      <c r="C3" s="14">
        <v>45378.664780092593</v>
      </c>
      <c r="D3" s="40">
        <v>0</v>
      </c>
      <c r="E3" s="40">
        <v>4669</v>
      </c>
      <c r="F3" s="40">
        <v>1</v>
      </c>
      <c r="G3" s="40">
        <v>2</v>
      </c>
      <c r="H3" s="40">
        <v>2</v>
      </c>
      <c r="I3" s="40">
        <v>300.02999999999997</v>
      </c>
      <c r="K3" s="40">
        <v>35877.81</v>
      </c>
      <c r="L3" s="40">
        <v>7233.76</v>
      </c>
      <c r="M3" s="40">
        <v>1.18</v>
      </c>
      <c r="O3" s="40"/>
      <c r="P3" s="173"/>
      <c r="Q3" s="174"/>
      <c r="R3" s="1"/>
    </row>
    <row r="4" spans="1:21" x14ac:dyDescent="0.25">
      <c r="A4" s="40">
        <v>65</v>
      </c>
      <c r="B4" s="40" t="s">
        <v>201</v>
      </c>
      <c r="C4" s="14">
        <v>45378.664780092593</v>
      </c>
      <c r="D4" s="40">
        <v>0</v>
      </c>
      <c r="E4" s="40">
        <v>4669</v>
      </c>
      <c r="F4" s="40">
        <v>1</v>
      </c>
      <c r="G4" s="40">
        <v>3</v>
      </c>
      <c r="H4" s="40">
        <v>3</v>
      </c>
      <c r="I4" s="40">
        <v>300.02999999999997</v>
      </c>
      <c r="K4" s="40">
        <v>32807.519999999997</v>
      </c>
      <c r="L4" s="40">
        <v>6514</v>
      </c>
      <c r="M4" s="40">
        <v>1.24</v>
      </c>
      <c r="O4" s="40" t="s">
        <v>199</v>
      </c>
      <c r="P4" s="173"/>
      <c r="Q4" s="174"/>
      <c r="R4" s="1"/>
    </row>
    <row r="5" spans="1:21" x14ac:dyDescent="0.25">
      <c r="A5" s="40">
        <v>65</v>
      </c>
      <c r="B5" s="40" t="s">
        <v>201</v>
      </c>
      <c r="C5" s="14">
        <v>45378.664780092593</v>
      </c>
      <c r="D5" s="40">
        <v>0</v>
      </c>
      <c r="E5" s="40">
        <v>4669</v>
      </c>
      <c r="F5" s="40">
        <v>1</v>
      </c>
      <c r="G5" s="40">
        <v>4</v>
      </c>
      <c r="H5" s="40">
        <v>4</v>
      </c>
      <c r="I5" s="40">
        <v>300.02999999999997</v>
      </c>
      <c r="K5" s="40">
        <v>33378.480000000003</v>
      </c>
      <c r="L5" s="40">
        <v>6684.74</v>
      </c>
      <c r="M5" s="40">
        <v>1.23</v>
      </c>
      <c r="O5" s="40"/>
      <c r="P5" s="173"/>
      <c r="Q5" s="174"/>
      <c r="R5" s="1"/>
    </row>
    <row r="6" spans="1:21" x14ac:dyDescent="0.25">
      <c r="A6" s="40">
        <v>65</v>
      </c>
      <c r="B6" s="40" t="s">
        <v>201</v>
      </c>
      <c r="C6" s="14">
        <v>45378.664780092593</v>
      </c>
      <c r="D6" s="40">
        <v>0</v>
      </c>
      <c r="E6" s="40">
        <v>4669</v>
      </c>
      <c r="F6" s="40">
        <v>1</v>
      </c>
      <c r="G6" s="40">
        <v>5</v>
      </c>
      <c r="H6" s="40">
        <v>5</v>
      </c>
      <c r="I6" s="40">
        <v>300.02999999999997</v>
      </c>
      <c r="K6" s="40">
        <v>30810.73</v>
      </c>
      <c r="L6" s="40">
        <v>6068.39</v>
      </c>
      <c r="M6" s="40">
        <v>1.28</v>
      </c>
      <c r="O6" s="40" t="s">
        <v>200</v>
      </c>
      <c r="P6" s="173"/>
      <c r="Q6" s="174"/>
      <c r="R6" s="1"/>
    </row>
    <row r="7" spans="1:21" x14ac:dyDescent="0.25">
      <c r="A7" s="40">
        <v>65</v>
      </c>
      <c r="B7" s="40" t="s">
        <v>201</v>
      </c>
      <c r="C7" s="14">
        <v>45378.668449074074</v>
      </c>
      <c r="D7" s="40">
        <v>0</v>
      </c>
      <c r="E7" s="40">
        <v>4669</v>
      </c>
      <c r="F7" s="40">
        <v>1</v>
      </c>
      <c r="G7" s="40">
        <v>1</v>
      </c>
      <c r="H7" s="40">
        <v>6</v>
      </c>
      <c r="I7" s="40">
        <v>300.04000000000002</v>
      </c>
      <c r="K7" s="40">
        <v>30678.560000000001</v>
      </c>
      <c r="L7" s="40">
        <v>6137.17</v>
      </c>
      <c r="M7" s="40">
        <v>1.28</v>
      </c>
      <c r="O7" s="40"/>
      <c r="P7" s="173"/>
      <c r="Q7" s="174"/>
      <c r="R7" s="1"/>
    </row>
    <row r="8" spans="1:21" x14ac:dyDescent="0.25">
      <c r="A8" s="40">
        <v>65</v>
      </c>
      <c r="B8" s="40" t="s">
        <v>201</v>
      </c>
      <c r="C8" s="14">
        <v>45378.668449074074</v>
      </c>
      <c r="D8" s="40">
        <v>0</v>
      </c>
      <c r="E8" s="40">
        <v>4669</v>
      </c>
      <c r="F8" s="40">
        <v>1</v>
      </c>
      <c r="G8" s="40">
        <v>2</v>
      </c>
      <c r="H8" s="40">
        <v>7</v>
      </c>
      <c r="I8" s="40">
        <v>300.04000000000002</v>
      </c>
      <c r="K8" s="40">
        <v>30236.29</v>
      </c>
      <c r="L8" s="40">
        <v>6093.4</v>
      </c>
      <c r="M8" s="40">
        <v>1.29</v>
      </c>
      <c r="O8" s="40" t="s">
        <v>121</v>
      </c>
      <c r="P8" s="173"/>
      <c r="Q8" s="174"/>
      <c r="R8" s="1"/>
    </row>
    <row r="9" spans="1:21" x14ac:dyDescent="0.25">
      <c r="A9" s="40">
        <v>65</v>
      </c>
      <c r="B9" s="40" t="s">
        <v>201</v>
      </c>
      <c r="C9" s="14">
        <v>45378.668449074074</v>
      </c>
      <c r="D9" s="40">
        <v>0</v>
      </c>
      <c r="E9" s="40">
        <v>4669</v>
      </c>
      <c r="F9" s="40">
        <v>1</v>
      </c>
      <c r="G9" s="40">
        <v>3</v>
      </c>
      <c r="H9" s="40">
        <v>8</v>
      </c>
      <c r="I9" s="40">
        <v>300.04000000000002</v>
      </c>
      <c r="K9" s="40">
        <v>30774.720000000001</v>
      </c>
      <c r="L9" s="40">
        <v>6109.09</v>
      </c>
      <c r="M9" s="40">
        <v>1.28</v>
      </c>
      <c r="O9" s="40"/>
      <c r="P9" s="173"/>
      <c r="Q9" s="174"/>
      <c r="R9" s="1"/>
      <c r="U9" s="40"/>
    </row>
    <row r="10" spans="1:21" x14ac:dyDescent="0.25">
      <c r="A10" s="40">
        <v>65</v>
      </c>
      <c r="B10" s="40" t="s">
        <v>201</v>
      </c>
      <c r="C10" s="14">
        <v>45378.668449074074</v>
      </c>
      <c r="D10" s="40">
        <v>0</v>
      </c>
      <c r="E10" s="40">
        <v>4669</v>
      </c>
      <c r="F10" s="40">
        <v>1</v>
      </c>
      <c r="G10" s="40">
        <v>4</v>
      </c>
      <c r="H10" s="40">
        <v>9</v>
      </c>
      <c r="I10" s="40">
        <v>300.04000000000002</v>
      </c>
      <c r="K10" s="40">
        <v>30915.18</v>
      </c>
      <c r="L10" s="40">
        <v>6189.84</v>
      </c>
      <c r="M10" s="40">
        <v>1.27</v>
      </c>
      <c r="O10" s="40" t="s">
        <v>122</v>
      </c>
      <c r="P10" s="173"/>
      <c r="Q10" s="174"/>
      <c r="R10" s="1"/>
      <c r="U10" s="40"/>
    </row>
    <row r="11" spans="1:21" x14ac:dyDescent="0.25">
      <c r="A11" s="40">
        <v>65</v>
      </c>
      <c r="B11" s="40" t="s">
        <v>201</v>
      </c>
      <c r="C11" s="14">
        <v>45378.668449074074</v>
      </c>
      <c r="D11" s="40">
        <v>0</v>
      </c>
      <c r="E11" s="40">
        <v>4669</v>
      </c>
      <c r="F11" s="40">
        <v>1</v>
      </c>
      <c r="G11" s="40">
        <v>5</v>
      </c>
      <c r="H11" s="40">
        <v>10</v>
      </c>
      <c r="I11" s="40">
        <v>300.04000000000002</v>
      </c>
      <c r="K11" s="40">
        <v>31562.55</v>
      </c>
      <c r="L11" s="40">
        <v>6216.88</v>
      </c>
      <c r="M11" s="40">
        <v>1.26</v>
      </c>
      <c r="O11" s="40"/>
      <c r="P11" s="173"/>
      <c r="Q11" s="174"/>
      <c r="R11" s="1"/>
      <c r="U11" s="40"/>
    </row>
    <row r="12" spans="1:21" x14ac:dyDescent="0.25">
      <c r="A12" s="40">
        <v>65</v>
      </c>
      <c r="B12" s="40" t="s">
        <v>201</v>
      </c>
      <c r="C12" s="14">
        <v>45378.672361111108</v>
      </c>
      <c r="D12" s="40">
        <v>0</v>
      </c>
      <c r="E12" s="40">
        <v>4669</v>
      </c>
      <c r="F12" s="40">
        <v>2</v>
      </c>
      <c r="G12" s="40">
        <v>1</v>
      </c>
      <c r="H12" s="40">
        <v>1</v>
      </c>
      <c r="I12" s="40">
        <v>300.02999999999997</v>
      </c>
      <c r="K12" s="40">
        <v>32098.54</v>
      </c>
      <c r="L12" s="40">
        <v>6422.91</v>
      </c>
      <c r="M12" s="40">
        <v>1.25</v>
      </c>
      <c r="O12" s="40" t="s">
        <v>129</v>
      </c>
      <c r="P12" s="173"/>
      <c r="Q12" s="174"/>
      <c r="R12" s="1"/>
      <c r="U12" s="40"/>
    </row>
    <row r="13" spans="1:21" x14ac:dyDescent="0.25">
      <c r="A13" s="40">
        <v>65</v>
      </c>
      <c r="B13" s="40" t="s">
        <v>201</v>
      </c>
      <c r="C13" s="14">
        <v>45378.672361111108</v>
      </c>
      <c r="D13" s="40">
        <v>0</v>
      </c>
      <c r="E13" s="40">
        <v>4669</v>
      </c>
      <c r="F13" s="40">
        <v>2</v>
      </c>
      <c r="G13" s="40">
        <v>2</v>
      </c>
      <c r="H13" s="40">
        <v>2</v>
      </c>
      <c r="I13" s="40">
        <v>300.02999999999997</v>
      </c>
      <c r="K13" s="40">
        <v>31937.33</v>
      </c>
      <c r="L13" s="40">
        <v>6437.84</v>
      </c>
      <c r="M13" s="40">
        <v>1.25</v>
      </c>
      <c r="P13" s="173"/>
      <c r="Q13" s="174"/>
      <c r="R13" s="1"/>
      <c r="U13" s="40"/>
    </row>
    <row r="14" spans="1:21" x14ac:dyDescent="0.25">
      <c r="A14" s="40">
        <v>65</v>
      </c>
      <c r="B14" s="40" t="s">
        <v>201</v>
      </c>
      <c r="C14" s="14">
        <v>45378.672361111108</v>
      </c>
      <c r="D14" s="40">
        <v>0</v>
      </c>
      <c r="E14" s="40">
        <v>4669</v>
      </c>
      <c r="F14" s="40">
        <v>2</v>
      </c>
      <c r="G14" s="40">
        <v>3</v>
      </c>
      <c r="H14" s="40">
        <v>3</v>
      </c>
      <c r="I14" s="40">
        <v>300.02999999999997</v>
      </c>
      <c r="K14" s="40">
        <v>46840.03</v>
      </c>
      <c r="L14" s="40">
        <v>9309.7999999999993</v>
      </c>
      <c r="M14" s="40">
        <v>1.03</v>
      </c>
      <c r="O14" s="40" t="s">
        <v>198</v>
      </c>
      <c r="P14" s="173" t="s">
        <v>36</v>
      </c>
      <c r="Q14" s="174"/>
      <c r="R14" s="1"/>
      <c r="U14" s="40"/>
    </row>
    <row r="15" spans="1:21" x14ac:dyDescent="0.25">
      <c r="A15" s="40">
        <v>65</v>
      </c>
      <c r="B15" s="40" t="s">
        <v>201</v>
      </c>
      <c r="C15" s="14">
        <v>45378.672361111108</v>
      </c>
      <c r="D15" s="40">
        <v>0</v>
      </c>
      <c r="E15" s="40">
        <v>4669</v>
      </c>
      <c r="F15" s="40">
        <v>2</v>
      </c>
      <c r="G15" s="40">
        <v>4</v>
      </c>
      <c r="H15" s="40">
        <v>4</v>
      </c>
      <c r="I15" s="40">
        <v>300.02999999999997</v>
      </c>
      <c r="K15" s="40">
        <v>47744.13</v>
      </c>
      <c r="L15" s="40">
        <v>9571.77</v>
      </c>
      <c r="M15" s="40">
        <v>1.02</v>
      </c>
      <c r="O15" s="40"/>
      <c r="P15" s="173"/>
      <c r="Q15" s="174"/>
      <c r="R15" s="1"/>
      <c r="U15" s="40"/>
    </row>
    <row r="16" spans="1:21" x14ac:dyDescent="0.25">
      <c r="A16" s="40">
        <v>65</v>
      </c>
      <c r="B16" s="40" t="s">
        <v>201</v>
      </c>
      <c r="C16" s="14">
        <v>45378.672361111108</v>
      </c>
      <c r="D16" s="40">
        <v>0</v>
      </c>
      <c r="E16" s="40">
        <v>4669</v>
      </c>
      <c r="F16" s="40">
        <v>2</v>
      </c>
      <c r="G16" s="40">
        <v>5</v>
      </c>
      <c r="H16" s="40">
        <v>5</v>
      </c>
      <c r="I16" s="40">
        <v>300.02999999999997</v>
      </c>
      <c r="K16" s="40">
        <v>44385.71</v>
      </c>
      <c r="L16" s="40">
        <v>8751.76</v>
      </c>
      <c r="M16" s="40">
        <v>1.06</v>
      </c>
      <c r="O16" s="40" t="s">
        <v>199</v>
      </c>
      <c r="P16" s="173"/>
      <c r="Q16" s="174"/>
      <c r="R16" s="1"/>
      <c r="U16" s="40"/>
    </row>
    <row r="17" spans="1:21" x14ac:dyDescent="0.25">
      <c r="A17" s="40">
        <v>65</v>
      </c>
      <c r="B17" s="40" t="s">
        <v>201</v>
      </c>
      <c r="C17" s="14">
        <v>45378.676030092596</v>
      </c>
      <c r="D17" s="40">
        <v>0</v>
      </c>
      <c r="E17" s="40">
        <v>4669</v>
      </c>
      <c r="F17" s="40">
        <v>2</v>
      </c>
      <c r="G17" s="40">
        <v>1</v>
      </c>
      <c r="H17" s="40">
        <v>6</v>
      </c>
      <c r="I17" s="40">
        <v>300.04000000000002</v>
      </c>
      <c r="K17" s="40">
        <v>44497</v>
      </c>
      <c r="L17" s="40">
        <v>8912.84</v>
      </c>
      <c r="M17" s="40">
        <v>1.06</v>
      </c>
      <c r="O17" s="40"/>
      <c r="P17" s="173"/>
      <c r="Q17" s="174"/>
      <c r="R17" s="1"/>
      <c r="U17" s="40"/>
    </row>
    <row r="18" spans="1:21" x14ac:dyDescent="0.25">
      <c r="A18" s="40">
        <v>65</v>
      </c>
      <c r="B18" s="40" t="s">
        <v>201</v>
      </c>
      <c r="C18" s="14">
        <v>45378.676030092596</v>
      </c>
      <c r="D18" s="40">
        <v>0</v>
      </c>
      <c r="E18" s="40">
        <v>4669</v>
      </c>
      <c r="F18" s="40">
        <v>2</v>
      </c>
      <c r="G18" s="40">
        <v>2</v>
      </c>
      <c r="H18" s="40">
        <v>7</v>
      </c>
      <c r="I18" s="40">
        <v>300.04000000000002</v>
      </c>
      <c r="K18" s="40">
        <v>43764.73</v>
      </c>
      <c r="L18" s="40">
        <v>8828.76</v>
      </c>
      <c r="M18" s="40">
        <v>1.07</v>
      </c>
      <c r="O18" s="40" t="s">
        <v>200</v>
      </c>
      <c r="P18" s="173"/>
      <c r="Q18" s="174"/>
      <c r="R18" s="1"/>
      <c r="U18" s="40"/>
    </row>
    <row r="19" spans="1:21" x14ac:dyDescent="0.25">
      <c r="A19" s="40">
        <v>65</v>
      </c>
      <c r="B19" s="40" t="s">
        <v>201</v>
      </c>
      <c r="C19" s="14">
        <v>45378.676030092596</v>
      </c>
      <c r="D19" s="40">
        <v>0</v>
      </c>
      <c r="E19" s="40">
        <v>4669</v>
      </c>
      <c r="F19" s="40">
        <v>2</v>
      </c>
      <c r="G19" s="40">
        <v>3</v>
      </c>
      <c r="H19" s="40">
        <v>8</v>
      </c>
      <c r="I19" s="40">
        <v>300.04000000000002</v>
      </c>
      <c r="K19" s="40">
        <v>44802.13</v>
      </c>
      <c r="L19" s="40">
        <v>8903.7099999999991</v>
      </c>
      <c r="M19" s="40">
        <v>1.06</v>
      </c>
      <c r="O19" s="40"/>
      <c r="P19" s="173"/>
      <c r="Q19" s="174"/>
      <c r="R19" s="1"/>
      <c r="U19" s="40"/>
    </row>
    <row r="20" spans="1:21" x14ac:dyDescent="0.25">
      <c r="A20" s="40">
        <v>65</v>
      </c>
      <c r="B20" s="40" t="s">
        <v>201</v>
      </c>
      <c r="C20" s="14">
        <v>45378.676030092596</v>
      </c>
      <c r="D20" s="40">
        <v>0</v>
      </c>
      <c r="E20" s="40">
        <v>4669</v>
      </c>
      <c r="F20" s="40">
        <v>2</v>
      </c>
      <c r="G20" s="40">
        <v>4</v>
      </c>
      <c r="H20" s="40">
        <v>9</v>
      </c>
      <c r="I20" s="40">
        <v>300.04000000000002</v>
      </c>
      <c r="K20" s="40">
        <v>41411.14</v>
      </c>
      <c r="L20" s="40">
        <v>8299.1200000000008</v>
      </c>
      <c r="M20" s="40">
        <v>1.1000000000000001</v>
      </c>
      <c r="O20" s="40" t="s">
        <v>121</v>
      </c>
      <c r="P20" s="173"/>
      <c r="Q20" s="174"/>
      <c r="R20" s="1"/>
      <c r="U20" s="40"/>
    </row>
    <row r="21" spans="1:21" x14ac:dyDescent="0.25">
      <c r="A21" s="40">
        <v>65</v>
      </c>
      <c r="B21" s="40" t="s">
        <v>201</v>
      </c>
      <c r="C21" s="14">
        <v>45378.676030092596</v>
      </c>
      <c r="D21" s="40">
        <v>0</v>
      </c>
      <c r="E21" s="40">
        <v>4669</v>
      </c>
      <c r="F21" s="40">
        <v>2</v>
      </c>
      <c r="G21" s="40">
        <v>5</v>
      </c>
      <c r="H21" s="40">
        <v>10</v>
      </c>
      <c r="I21" s="40">
        <v>300.04000000000002</v>
      </c>
      <c r="K21" s="40">
        <v>43319.42</v>
      </c>
      <c r="L21" s="40">
        <v>8540.91</v>
      </c>
      <c r="M21" s="40">
        <v>1.08</v>
      </c>
      <c r="O21" s="40"/>
      <c r="P21" s="173"/>
      <c r="Q21" s="174"/>
      <c r="R21" s="1"/>
      <c r="U21" s="40"/>
    </row>
    <row r="22" spans="1:21" x14ac:dyDescent="0.25">
      <c r="A22" s="40">
        <v>65</v>
      </c>
      <c r="B22" s="40" t="s">
        <v>201</v>
      </c>
      <c r="C22" s="14">
        <v>45378.680034722223</v>
      </c>
      <c r="D22" s="40">
        <v>0</v>
      </c>
      <c r="E22" s="40">
        <v>4669</v>
      </c>
      <c r="F22" s="40">
        <v>3</v>
      </c>
      <c r="G22" s="40">
        <v>1</v>
      </c>
      <c r="H22" s="40">
        <v>1</v>
      </c>
      <c r="I22" s="40">
        <v>300.02999999999997</v>
      </c>
      <c r="K22" s="40">
        <v>42152.77</v>
      </c>
      <c r="L22" s="40">
        <v>8442.81</v>
      </c>
      <c r="M22" s="40">
        <v>1.0900000000000001</v>
      </c>
      <c r="O22" s="40" t="s">
        <v>122</v>
      </c>
      <c r="P22" s="173"/>
      <c r="Q22" s="174"/>
      <c r="R22" s="1"/>
      <c r="U22" s="40"/>
    </row>
    <row r="23" spans="1:21" x14ac:dyDescent="0.25">
      <c r="A23" s="40">
        <v>65</v>
      </c>
      <c r="B23" s="40" t="s">
        <v>201</v>
      </c>
      <c r="C23" s="14">
        <v>45378.680034722223</v>
      </c>
      <c r="D23" s="40">
        <v>0</v>
      </c>
      <c r="E23" s="40">
        <v>4669</v>
      </c>
      <c r="F23" s="40">
        <v>3</v>
      </c>
      <c r="G23" s="40">
        <v>2</v>
      </c>
      <c r="H23" s="40">
        <v>2</v>
      </c>
      <c r="I23" s="40">
        <v>300.02999999999997</v>
      </c>
      <c r="K23" s="40">
        <v>42928.63</v>
      </c>
      <c r="L23" s="40">
        <v>8660.5499999999993</v>
      </c>
      <c r="M23" s="40">
        <v>1.08</v>
      </c>
      <c r="O23" s="40"/>
      <c r="P23" s="173"/>
      <c r="Q23" s="174"/>
      <c r="R23" s="1"/>
      <c r="U23" s="40"/>
    </row>
    <row r="24" spans="1:21" x14ac:dyDescent="0.25">
      <c r="A24" s="40">
        <v>65</v>
      </c>
      <c r="B24" s="40" t="s">
        <v>201</v>
      </c>
      <c r="C24" s="14">
        <v>45378.680034722223</v>
      </c>
      <c r="D24" s="40">
        <v>0</v>
      </c>
      <c r="E24" s="40">
        <v>4669</v>
      </c>
      <c r="F24" s="40">
        <v>3</v>
      </c>
      <c r="G24" s="40">
        <v>3</v>
      </c>
      <c r="H24" s="40">
        <v>3</v>
      </c>
      <c r="I24" s="40">
        <v>300.02999999999997</v>
      </c>
      <c r="K24" s="40">
        <v>43624.66</v>
      </c>
      <c r="L24" s="40">
        <v>8669.98</v>
      </c>
      <c r="M24" s="40">
        <v>1.07</v>
      </c>
      <c r="O24" s="40" t="s">
        <v>129</v>
      </c>
      <c r="P24" s="173"/>
      <c r="Q24" s="174"/>
      <c r="R24" s="1"/>
    </row>
    <row r="25" spans="1:21" x14ac:dyDescent="0.25">
      <c r="A25" s="40">
        <v>65</v>
      </c>
      <c r="B25" s="40" t="s">
        <v>201</v>
      </c>
      <c r="C25" s="14">
        <v>45378.680034722223</v>
      </c>
      <c r="D25" s="40">
        <v>0</v>
      </c>
      <c r="E25" s="40">
        <v>4669</v>
      </c>
      <c r="F25" s="40">
        <v>3</v>
      </c>
      <c r="G25" s="40">
        <v>4</v>
      </c>
      <c r="H25" s="40">
        <v>4</v>
      </c>
      <c r="I25" s="40">
        <v>300.02999999999997</v>
      </c>
      <c r="K25" s="40">
        <v>43771.32</v>
      </c>
      <c r="L25" s="40">
        <v>8774.2000000000007</v>
      </c>
      <c r="M25" s="40">
        <v>1.07</v>
      </c>
      <c r="O25" s="40"/>
      <c r="P25" s="173"/>
      <c r="Q25" s="174"/>
      <c r="R25" s="1"/>
    </row>
    <row r="26" spans="1:21" x14ac:dyDescent="0.25">
      <c r="A26" s="40">
        <v>65</v>
      </c>
      <c r="B26" s="40" t="s">
        <v>201</v>
      </c>
      <c r="C26" s="14">
        <v>45378.680034722223</v>
      </c>
      <c r="D26" s="40">
        <v>0</v>
      </c>
      <c r="E26" s="40">
        <v>4669</v>
      </c>
      <c r="F26" s="40">
        <v>3</v>
      </c>
      <c r="G26" s="40">
        <v>5</v>
      </c>
      <c r="H26" s="40">
        <v>5</v>
      </c>
      <c r="I26" s="40">
        <v>300.02999999999997</v>
      </c>
      <c r="K26" s="40">
        <v>56287.89</v>
      </c>
      <c r="L26" s="40">
        <v>11105.46</v>
      </c>
      <c r="M26" s="40">
        <v>0.94</v>
      </c>
      <c r="O26" s="40" t="s">
        <v>35</v>
      </c>
      <c r="P26" s="173" t="s">
        <v>189</v>
      </c>
      <c r="Q26" s="167"/>
      <c r="R26" s="1"/>
    </row>
    <row r="27" spans="1:21" x14ac:dyDescent="0.25">
      <c r="A27" s="40">
        <v>65</v>
      </c>
      <c r="B27" s="40" t="s">
        <v>201</v>
      </c>
      <c r="C27" s="14">
        <v>45378.683703703704</v>
      </c>
      <c r="D27" s="40">
        <v>0</v>
      </c>
      <c r="E27" s="40">
        <v>4669</v>
      </c>
      <c r="F27" s="40">
        <v>3</v>
      </c>
      <c r="G27" s="40">
        <v>1</v>
      </c>
      <c r="H27" s="40">
        <v>6</v>
      </c>
      <c r="I27" s="40">
        <v>300.06</v>
      </c>
      <c r="K27" s="40">
        <v>55871.87</v>
      </c>
      <c r="L27" s="40">
        <v>11198.14</v>
      </c>
      <c r="M27" s="40">
        <v>0.95</v>
      </c>
      <c r="O27" s="40"/>
      <c r="P27" s="173"/>
      <c r="Q27" s="167"/>
      <c r="R27" s="1"/>
    </row>
    <row r="28" spans="1:21" x14ac:dyDescent="0.25">
      <c r="A28" s="40">
        <v>65</v>
      </c>
      <c r="B28" s="40" t="s">
        <v>201</v>
      </c>
      <c r="C28" s="14">
        <v>45378.683703703704</v>
      </c>
      <c r="D28" s="40">
        <v>0</v>
      </c>
      <c r="E28" s="40">
        <v>4669</v>
      </c>
      <c r="F28" s="40">
        <v>3</v>
      </c>
      <c r="G28" s="40">
        <v>2</v>
      </c>
      <c r="H28" s="40">
        <v>7</v>
      </c>
      <c r="I28" s="40">
        <v>300.06</v>
      </c>
      <c r="K28" s="40">
        <v>81892.759999999995</v>
      </c>
      <c r="L28" s="40">
        <v>16540.47</v>
      </c>
      <c r="M28" s="40">
        <v>0.78</v>
      </c>
      <c r="O28" s="34" t="s">
        <v>36</v>
      </c>
      <c r="P28" s="173"/>
      <c r="Q28" s="167"/>
      <c r="R28" s="1"/>
    </row>
    <row r="29" spans="1:21" x14ac:dyDescent="0.25">
      <c r="A29" s="40">
        <v>65</v>
      </c>
      <c r="B29" s="40" t="s">
        <v>201</v>
      </c>
      <c r="C29" s="14">
        <v>45378.683703703704</v>
      </c>
      <c r="D29" s="40">
        <v>0</v>
      </c>
      <c r="E29" s="40">
        <v>4669</v>
      </c>
      <c r="F29" s="40">
        <v>3</v>
      </c>
      <c r="G29" s="40">
        <v>3</v>
      </c>
      <c r="H29" s="40">
        <v>8</v>
      </c>
      <c r="I29" s="40">
        <v>300.06</v>
      </c>
      <c r="K29" s="40">
        <v>82840.78</v>
      </c>
      <c r="L29" s="40">
        <v>16484.48</v>
      </c>
      <c r="M29" s="40">
        <v>0.78</v>
      </c>
      <c r="O29" s="34"/>
      <c r="P29" s="173"/>
      <c r="Q29" s="167"/>
      <c r="R29" s="1"/>
    </row>
    <row r="30" spans="1:21" x14ac:dyDescent="0.25">
      <c r="A30" s="40">
        <v>65</v>
      </c>
      <c r="B30" s="40" t="s">
        <v>201</v>
      </c>
      <c r="C30" s="14">
        <v>45378.683703703704</v>
      </c>
      <c r="D30" s="40">
        <v>0</v>
      </c>
      <c r="E30" s="40">
        <v>4669</v>
      </c>
      <c r="F30" s="40">
        <v>3</v>
      </c>
      <c r="G30" s="40">
        <v>4</v>
      </c>
      <c r="H30" s="40">
        <v>9</v>
      </c>
      <c r="I30" s="40">
        <v>300.06</v>
      </c>
      <c r="K30" s="40">
        <v>86</v>
      </c>
      <c r="L30" s="40">
        <v>0</v>
      </c>
      <c r="M30" s="40">
        <v>0</v>
      </c>
      <c r="N30" s="40" t="s">
        <v>202</v>
      </c>
      <c r="O30" s="116"/>
      <c r="P30" s="116"/>
      <c r="Q30" s="116"/>
      <c r="R30" s="1"/>
    </row>
    <row r="31" spans="1:21" x14ac:dyDescent="0.25">
      <c r="A31" s="40">
        <v>65</v>
      </c>
      <c r="B31" s="40" t="s">
        <v>201</v>
      </c>
      <c r="C31" s="14">
        <v>45378.683703703704</v>
      </c>
      <c r="D31" s="40">
        <v>0</v>
      </c>
      <c r="E31" s="40">
        <v>4669</v>
      </c>
      <c r="F31" s="40">
        <v>3</v>
      </c>
      <c r="G31" s="40">
        <v>5</v>
      </c>
      <c r="H31" s="40">
        <v>10</v>
      </c>
      <c r="I31" s="40">
        <v>300.06</v>
      </c>
      <c r="K31" s="40">
        <v>92.27</v>
      </c>
      <c r="L31" s="40">
        <v>0.25</v>
      </c>
      <c r="M31" s="40">
        <v>199.47</v>
      </c>
      <c r="N31" s="40" t="s">
        <v>202</v>
      </c>
      <c r="O31" s="116"/>
      <c r="P31" s="116"/>
      <c r="Q31" s="116"/>
      <c r="R31" s="1"/>
    </row>
    <row r="32" spans="1:21" x14ac:dyDescent="0.25">
      <c r="A32" s="40">
        <v>65</v>
      </c>
      <c r="B32" s="40" t="s">
        <v>201</v>
      </c>
      <c r="C32" s="14">
        <v>45378.687719907408</v>
      </c>
      <c r="D32" s="40">
        <v>0</v>
      </c>
      <c r="E32" s="40">
        <v>4669</v>
      </c>
      <c r="F32" s="40">
        <v>4</v>
      </c>
      <c r="G32" s="40">
        <v>1</v>
      </c>
      <c r="H32" s="40">
        <v>1</v>
      </c>
      <c r="I32" s="40">
        <v>300.02999999999997</v>
      </c>
      <c r="K32" s="40">
        <v>18227.939999999999</v>
      </c>
      <c r="L32" s="40">
        <v>3638.5</v>
      </c>
      <c r="M32" s="40">
        <v>1.66</v>
      </c>
      <c r="O32" s="40" t="s">
        <v>198</v>
      </c>
      <c r="P32" s="173" t="s">
        <v>35</v>
      </c>
      <c r="Q32" s="174" t="s">
        <v>79</v>
      </c>
      <c r="R32" s="1"/>
    </row>
    <row r="33" spans="1:18" x14ac:dyDescent="0.25">
      <c r="A33" s="40">
        <v>65</v>
      </c>
      <c r="B33" s="40" t="s">
        <v>201</v>
      </c>
      <c r="C33" s="14">
        <v>45378.687719907408</v>
      </c>
      <c r="D33" s="40">
        <v>0</v>
      </c>
      <c r="E33" s="40">
        <v>4669</v>
      </c>
      <c r="F33" s="40">
        <v>4</v>
      </c>
      <c r="G33" s="40">
        <v>2</v>
      </c>
      <c r="H33" s="40">
        <v>2</v>
      </c>
      <c r="I33" s="40">
        <v>300.02999999999997</v>
      </c>
      <c r="K33" s="40">
        <v>19113.330000000002</v>
      </c>
      <c r="L33" s="40">
        <v>3846.57</v>
      </c>
      <c r="M33" s="40">
        <v>1.62</v>
      </c>
      <c r="O33" s="40"/>
      <c r="P33" s="173"/>
      <c r="Q33" s="174"/>
      <c r="R33" s="1"/>
    </row>
    <row r="34" spans="1:18" x14ac:dyDescent="0.25">
      <c r="A34" s="40">
        <v>65</v>
      </c>
      <c r="B34" s="40" t="s">
        <v>201</v>
      </c>
      <c r="C34" s="14">
        <v>45378.687719907408</v>
      </c>
      <c r="D34" s="40">
        <v>0</v>
      </c>
      <c r="E34" s="40">
        <v>4669</v>
      </c>
      <c r="F34" s="40">
        <v>4</v>
      </c>
      <c r="G34" s="40">
        <v>3</v>
      </c>
      <c r="H34" s="40">
        <v>3</v>
      </c>
      <c r="I34" s="40">
        <v>300.02999999999997</v>
      </c>
      <c r="K34" s="40">
        <v>18253.169999999998</v>
      </c>
      <c r="L34" s="40">
        <v>3616.72</v>
      </c>
      <c r="M34" s="40">
        <v>1.66</v>
      </c>
      <c r="O34" s="40" t="s">
        <v>199</v>
      </c>
      <c r="P34" s="173"/>
      <c r="Q34" s="174"/>
      <c r="R34" s="1"/>
    </row>
    <row r="35" spans="1:18" x14ac:dyDescent="0.25">
      <c r="A35" s="40">
        <v>65</v>
      </c>
      <c r="B35" s="40" t="s">
        <v>201</v>
      </c>
      <c r="C35" s="14">
        <v>45378.687719907408</v>
      </c>
      <c r="D35" s="40">
        <v>0</v>
      </c>
      <c r="E35" s="40">
        <v>4669</v>
      </c>
      <c r="F35" s="40">
        <v>4</v>
      </c>
      <c r="G35" s="40">
        <v>4</v>
      </c>
      <c r="H35" s="40">
        <v>4</v>
      </c>
      <c r="I35" s="40">
        <v>300.02999999999997</v>
      </c>
      <c r="K35" s="40">
        <v>18260.62</v>
      </c>
      <c r="L35" s="40">
        <v>3649.13</v>
      </c>
      <c r="M35" s="40">
        <v>1.66</v>
      </c>
      <c r="O35" s="40"/>
      <c r="P35" s="173"/>
      <c r="Q35" s="174"/>
      <c r="R35" s="1"/>
    </row>
    <row r="36" spans="1:18" x14ac:dyDescent="0.25">
      <c r="A36" s="40">
        <v>65</v>
      </c>
      <c r="B36" s="40" t="s">
        <v>201</v>
      </c>
      <c r="C36" s="14">
        <v>45378.687719907408</v>
      </c>
      <c r="D36" s="40">
        <v>0</v>
      </c>
      <c r="E36" s="40">
        <v>4669</v>
      </c>
      <c r="F36" s="40">
        <v>4</v>
      </c>
      <c r="G36" s="40">
        <v>5</v>
      </c>
      <c r="H36" s="40">
        <v>5</v>
      </c>
      <c r="I36" s="40">
        <v>300.02999999999997</v>
      </c>
      <c r="K36" s="40">
        <v>17869.91</v>
      </c>
      <c r="L36" s="40">
        <v>3512.6</v>
      </c>
      <c r="M36" s="40">
        <v>1.68</v>
      </c>
      <c r="O36" s="40" t="s">
        <v>200</v>
      </c>
      <c r="P36" s="173"/>
      <c r="Q36" s="174"/>
      <c r="R36" s="1"/>
    </row>
    <row r="37" spans="1:18" x14ac:dyDescent="0.25">
      <c r="A37" s="40">
        <v>65</v>
      </c>
      <c r="B37" s="40" t="s">
        <v>201</v>
      </c>
      <c r="C37" s="14">
        <v>45378.691388888888</v>
      </c>
      <c r="D37" s="40">
        <v>0</v>
      </c>
      <c r="E37" s="40">
        <v>4669</v>
      </c>
      <c r="F37" s="40">
        <v>4</v>
      </c>
      <c r="G37" s="40">
        <v>1</v>
      </c>
      <c r="H37" s="40">
        <v>6</v>
      </c>
      <c r="I37" s="40">
        <v>300.04000000000002</v>
      </c>
      <c r="K37" s="40">
        <v>18791.71</v>
      </c>
      <c r="L37" s="40">
        <v>3751.65</v>
      </c>
      <c r="M37" s="40">
        <v>1.64</v>
      </c>
      <c r="O37" s="40"/>
      <c r="P37" s="173"/>
      <c r="Q37" s="174"/>
      <c r="R37" s="1"/>
    </row>
    <row r="38" spans="1:18" x14ac:dyDescent="0.25">
      <c r="A38" s="40">
        <v>65</v>
      </c>
      <c r="B38" s="40" t="s">
        <v>201</v>
      </c>
      <c r="C38" s="14">
        <v>45378.691388888888</v>
      </c>
      <c r="D38" s="40">
        <v>0</v>
      </c>
      <c r="E38" s="40">
        <v>4669</v>
      </c>
      <c r="F38" s="40">
        <v>4</v>
      </c>
      <c r="G38" s="40">
        <v>2</v>
      </c>
      <c r="H38" s="40">
        <v>7</v>
      </c>
      <c r="I38" s="40">
        <v>300.04000000000002</v>
      </c>
      <c r="K38" s="40">
        <v>18080.98</v>
      </c>
      <c r="L38" s="40">
        <v>3637.85</v>
      </c>
      <c r="M38" s="40">
        <v>1.67</v>
      </c>
      <c r="O38" s="40" t="s">
        <v>121</v>
      </c>
      <c r="P38" s="173"/>
      <c r="Q38" s="174"/>
      <c r="R38" s="1"/>
    </row>
    <row r="39" spans="1:18" x14ac:dyDescent="0.25">
      <c r="A39" s="40">
        <v>65</v>
      </c>
      <c r="B39" s="40" t="s">
        <v>201</v>
      </c>
      <c r="C39" s="14">
        <v>45378.691388888888</v>
      </c>
      <c r="D39" s="40">
        <v>0</v>
      </c>
      <c r="E39" s="40">
        <v>4669</v>
      </c>
      <c r="F39" s="40">
        <v>4</v>
      </c>
      <c r="G39" s="40">
        <v>3</v>
      </c>
      <c r="H39" s="40">
        <v>8</v>
      </c>
      <c r="I39" s="40">
        <v>300.04000000000002</v>
      </c>
      <c r="K39" s="40">
        <v>19250</v>
      </c>
      <c r="L39" s="40">
        <v>3815.19</v>
      </c>
      <c r="M39" s="40">
        <v>1.62</v>
      </c>
      <c r="O39" s="40"/>
      <c r="P39" s="173"/>
      <c r="Q39" s="174"/>
      <c r="R39" s="1"/>
    </row>
    <row r="40" spans="1:18" x14ac:dyDescent="0.25">
      <c r="A40" s="40">
        <v>65</v>
      </c>
      <c r="B40" s="40" t="s">
        <v>201</v>
      </c>
      <c r="C40" s="14">
        <v>45378.691388888888</v>
      </c>
      <c r="D40" s="40">
        <v>0</v>
      </c>
      <c r="E40" s="40">
        <v>4669</v>
      </c>
      <c r="F40" s="40">
        <v>4</v>
      </c>
      <c r="G40" s="40">
        <v>4</v>
      </c>
      <c r="H40" s="40">
        <v>9</v>
      </c>
      <c r="I40" s="40">
        <v>300.04000000000002</v>
      </c>
      <c r="K40" s="40">
        <v>17831.75</v>
      </c>
      <c r="L40" s="40">
        <v>3562.93</v>
      </c>
      <c r="M40" s="40">
        <v>1.68</v>
      </c>
      <c r="O40" s="40" t="s">
        <v>122</v>
      </c>
      <c r="P40" s="173"/>
      <c r="Q40" s="174"/>
      <c r="R40" s="1"/>
    </row>
    <row r="41" spans="1:18" x14ac:dyDescent="0.25">
      <c r="A41" s="40">
        <v>65</v>
      </c>
      <c r="B41" s="40" t="s">
        <v>201</v>
      </c>
      <c r="C41" s="14">
        <v>45378.691388888888</v>
      </c>
      <c r="D41" s="40">
        <v>0</v>
      </c>
      <c r="E41" s="40">
        <v>4669</v>
      </c>
      <c r="F41" s="40">
        <v>4</v>
      </c>
      <c r="G41" s="40">
        <v>5</v>
      </c>
      <c r="H41" s="40">
        <v>10</v>
      </c>
      <c r="I41" s="40">
        <v>300.04000000000002</v>
      </c>
      <c r="K41" s="40">
        <v>19683.169999999998</v>
      </c>
      <c r="L41" s="40">
        <v>3870.85</v>
      </c>
      <c r="M41" s="40">
        <v>1.6</v>
      </c>
      <c r="O41" s="40"/>
      <c r="P41" s="173"/>
      <c r="Q41" s="174"/>
      <c r="R41" s="1"/>
    </row>
    <row r="42" spans="1:18" x14ac:dyDescent="0.25">
      <c r="A42" s="40">
        <v>65</v>
      </c>
      <c r="B42" s="40" t="s">
        <v>201</v>
      </c>
      <c r="C42" s="14">
        <v>45378.695393518516</v>
      </c>
      <c r="D42" s="40">
        <v>0</v>
      </c>
      <c r="E42" s="40">
        <v>4669</v>
      </c>
      <c r="F42" s="40">
        <v>5</v>
      </c>
      <c r="G42" s="40">
        <v>1</v>
      </c>
      <c r="H42" s="40">
        <v>1</v>
      </c>
      <c r="I42" s="40">
        <v>300.04000000000002</v>
      </c>
      <c r="K42" s="40">
        <v>6795.39</v>
      </c>
      <c r="L42" s="40">
        <v>1343.09</v>
      </c>
      <c r="M42" s="40">
        <v>2.73</v>
      </c>
      <c r="O42" s="40" t="s">
        <v>129</v>
      </c>
      <c r="P42" s="173"/>
      <c r="Q42" s="174"/>
      <c r="R42" s="1"/>
    </row>
    <row r="43" spans="1:18" x14ac:dyDescent="0.25">
      <c r="A43" s="40">
        <v>65</v>
      </c>
      <c r="B43" s="40" t="s">
        <v>201</v>
      </c>
      <c r="C43" s="14">
        <v>45378.695393518516</v>
      </c>
      <c r="D43" s="40">
        <v>0</v>
      </c>
      <c r="E43" s="40">
        <v>4669</v>
      </c>
      <c r="F43" s="40">
        <v>5</v>
      </c>
      <c r="G43" s="40">
        <v>2</v>
      </c>
      <c r="H43" s="40">
        <v>2</v>
      </c>
      <c r="I43" s="40">
        <v>300.04000000000002</v>
      </c>
      <c r="K43" s="40">
        <v>6333.67</v>
      </c>
      <c r="L43" s="40">
        <v>1263.71</v>
      </c>
      <c r="M43" s="40">
        <v>2.83</v>
      </c>
      <c r="O43" s="40"/>
      <c r="P43" s="173"/>
      <c r="Q43" s="174"/>
      <c r="R43" s="1"/>
    </row>
    <row r="44" spans="1:18" x14ac:dyDescent="0.25">
      <c r="A44" s="40">
        <v>65</v>
      </c>
      <c r="B44" s="40" t="s">
        <v>201</v>
      </c>
      <c r="C44" s="14">
        <v>45378.695393518516</v>
      </c>
      <c r="D44" s="40">
        <v>0</v>
      </c>
      <c r="E44" s="40">
        <v>4669</v>
      </c>
      <c r="F44" s="40">
        <v>5</v>
      </c>
      <c r="G44" s="40">
        <v>3</v>
      </c>
      <c r="H44" s="40">
        <v>3</v>
      </c>
      <c r="I44" s="40">
        <v>300.04000000000002</v>
      </c>
      <c r="K44" s="40">
        <v>15071.17</v>
      </c>
      <c r="L44" s="40">
        <v>2983.1</v>
      </c>
      <c r="M44" s="40">
        <v>1.83</v>
      </c>
      <c r="O44" s="40" t="s">
        <v>198</v>
      </c>
      <c r="P44" s="173" t="s">
        <v>36</v>
      </c>
      <c r="Q44" s="174"/>
      <c r="R44" s="1"/>
    </row>
    <row r="45" spans="1:18" x14ac:dyDescent="0.25">
      <c r="A45" s="40">
        <v>65</v>
      </c>
      <c r="B45" s="40" t="s">
        <v>201</v>
      </c>
      <c r="C45" s="14">
        <v>45378.695393518516</v>
      </c>
      <c r="D45" s="40">
        <v>0</v>
      </c>
      <c r="E45" s="40">
        <v>4669</v>
      </c>
      <c r="F45" s="40">
        <v>5</v>
      </c>
      <c r="G45" s="40">
        <v>4</v>
      </c>
      <c r="H45" s="40">
        <v>4</v>
      </c>
      <c r="I45" s="40">
        <v>300.04000000000002</v>
      </c>
      <c r="K45" s="40">
        <v>16336.93</v>
      </c>
      <c r="L45" s="40">
        <v>3262.8</v>
      </c>
      <c r="M45" s="40">
        <v>1.75</v>
      </c>
      <c r="O45" s="40"/>
      <c r="P45" s="173"/>
      <c r="Q45" s="174"/>
      <c r="R45" s="1"/>
    </row>
    <row r="46" spans="1:18" x14ac:dyDescent="0.25">
      <c r="A46" s="40">
        <v>65</v>
      </c>
      <c r="B46" s="40" t="s">
        <v>201</v>
      </c>
      <c r="C46" s="14">
        <v>45378.695393518516</v>
      </c>
      <c r="D46" s="40">
        <v>0</v>
      </c>
      <c r="E46" s="40">
        <v>4669</v>
      </c>
      <c r="F46" s="40">
        <v>5</v>
      </c>
      <c r="G46" s="40">
        <v>5</v>
      </c>
      <c r="H46" s="40">
        <v>5</v>
      </c>
      <c r="I46" s="40">
        <v>300.04000000000002</v>
      </c>
      <c r="K46" s="40">
        <v>17925.38</v>
      </c>
      <c r="L46" s="40">
        <v>3523.67</v>
      </c>
      <c r="M46" s="40">
        <v>1.67</v>
      </c>
      <c r="O46" s="40" t="s">
        <v>199</v>
      </c>
      <c r="P46" s="173"/>
      <c r="Q46" s="174"/>
      <c r="R46" s="1"/>
    </row>
    <row r="47" spans="1:18" x14ac:dyDescent="0.25">
      <c r="A47" s="40">
        <v>65</v>
      </c>
      <c r="B47" s="40" t="s">
        <v>201</v>
      </c>
      <c r="C47" s="14">
        <v>45378.699062500003</v>
      </c>
      <c r="D47" s="40">
        <v>0</v>
      </c>
      <c r="E47" s="40">
        <v>4669</v>
      </c>
      <c r="F47" s="40">
        <v>5</v>
      </c>
      <c r="G47" s="40">
        <v>1</v>
      </c>
      <c r="H47" s="40">
        <v>6</v>
      </c>
      <c r="I47" s="40">
        <v>300.02999999999997</v>
      </c>
      <c r="K47" s="40">
        <v>16304.81</v>
      </c>
      <c r="L47" s="40">
        <v>3252.76</v>
      </c>
      <c r="M47" s="40">
        <v>1.76</v>
      </c>
      <c r="O47" s="40"/>
      <c r="P47" s="173"/>
      <c r="Q47" s="174"/>
      <c r="R47" s="1"/>
    </row>
    <row r="48" spans="1:18" x14ac:dyDescent="0.25">
      <c r="A48" s="40">
        <v>65</v>
      </c>
      <c r="B48" s="40" t="s">
        <v>201</v>
      </c>
      <c r="C48" s="14">
        <v>45378.699062500003</v>
      </c>
      <c r="D48" s="40">
        <v>0</v>
      </c>
      <c r="E48" s="40">
        <v>4669</v>
      </c>
      <c r="F48" s="40">
        <v>5</v>
      </c>
      <c r="G48" s="40">
        <v>2</v>
      </c>
      <c r="H48" s="40">
        <v>7</v>
      </c>
      <c r="I48" s="40">
        <v>300.02999999999997</v>
      </c>
      <c r="K48" s="40">
        <v>15681.95</v>
      </c>
      <c r="L48" s="40">
        <v>3153.41</v>
      </c>
      <c r="M48" s="40">
        <v>1.79</v>
      </c>
      <c r="O48" s="40" t="s">
        <v>200</v>
      </c>
      <c r="P48" s="173"/>
      <c r="Q48" s="174"/>
      <c r="R48" s="1"/>
    </row>
    <row r="49" spans="1:18" x14ac:dyDescent="0.25">
      <c r="A49" s="40">
        <v>65</v>
      </c>
      <c r="B49" s="40" t="s">
        <v>201</v>
      </c>
      <c r="C49" s="14">
        <v>45378.699062500003</v>
      </c>
      <c r="D49" s="40">
        <v>0</v>
      </c>
      <c r="E49" s="40">
        <v>4669</v>
      </c>
      <c r="F49" s="40">
        <v>5</v>
      </c>
      <c r="G49" s="40">
        <v>3</v>
      </c>
      <c r="H49" s="40">
        <v>8</v>
      </c>
      <c r="I49" s="40">
        <v>300.02999999999997</v>
      </c>
      <c r="K49" s="40">
        <v>17651.560000000001</v>
      </c>
      <c r="L49" s="40">
        <v>3497.36</v>
      </c>
      <c r="M49" s="40">
        <v>1.69</v>
      </c>
      <c r="O49" s="40"/>
      <c r="P49" s="173"/>
      <c r="Q49" s="174"/>
      <c r="R49" s="1"/>
    </row>
    <row r="50" spans="1:18" x14ac:dyDescent="0.25">
      <c r="A50" s="40">
        <v>65</v>
      </c>
      <c r="B50" s="40" t="s">
        <v>201</v>
      </c>
      <c r="C50" s="14">
        <v>45378.699062500003</v>
      </c>
      <c r="D50" s="40">
        <v>0</v>
      </c>
      <c r="E50" s="40">
        <v>4669</v>
      </c>
      <c r="F50" s="40">
        <v>5</v>
      </c>
      <c r="G50" s="40">
        <v>4</v>
      </c>
      <c r="H50" s="40">
        <v>9</v>
      </c>
      <c r="I50" s="40">
        <v>300.02999999999997</v>
      </c>
      <c r="K50" s="40">
        <v>15451.33</v>
      </c>
      <c r="L50" s="40">
        <v>3085.2</v>
      </c>
      <c r="M50" s="40">
        <v>1.8</v>
      </c>
      <c r="O50" s="40" t="s">
        <v>121</v>
      </c>
      <c r="P50" s="173"/>
      <c r="Q50" s="174"/>
      <c r="R50" s="1"/>
    </row>
    <row r="51" spans="1:18" x14ac:dyDescent="0.25">
      <c r="A51" s="40">
        <v>65</v>
      </c>
      <c r="B51" s="40" t="s">
        <v>201</v>
      </c>
      <c r="C51" s="14">
        <v>45378.699062500003</v>
      </c>
      <c r="D51" s="40">
        <v>0</v>
      </c>
      <c r="E51" s="40">
        <v>4669</v>
      </c>
      <c r="F51" s="40">
        <v>5</v>
      </c>
      <c r="G51" s="40">
        <v>5</v>
      </c>
      <c r="H51" s="40">
        <v>10</v>
      </c>
      <c r="I51" s="40">
        <v>300.02999999999997</v>
      </c>
      <c r="K51" s="40">
        <v>15200.23</v>
      </c>
      <c r="L51" s="40">
        <v>2985.47</v>
      </c>
      <c r="M51" s="40">
        <v>1.82</v>
      </c>
      <c r="O51" s="40"/>
      <c r="P51" s="173"/>
      <c r="Q51" s="174"/>
      <c r="R51" s="1"/>
    </row>
    <row r="52" spans="1:18" x14ac:dyDescent="0.25">
      <c r="A52" s="40">
        <v>65</v>
      </c>
      <c r="B52" s="40" t="s">
        <v>201</v>
      </c>
      <c r="C52" s="14">
        <v>45378.703067129631</v>
      </c>
      <c r="D52" s="40">
        <v>0</v>
      </c>
      <c r="E52" s="40">
        <v>4669</v>
      </c>
      <c r="F52" s="40">
        <v>6</v>
      </c>
      <c r="G52" s="40">
        <v>1</v>
      </c>
      <c r="H52" s="40">
        <v>1</v>
      </c>
      <c r="I52" s="40">
        <v>300.02999999999997</v>
      </c>
      <c r="K52" s="40">
        <v>15163.1</v>
      </c>
      <c r="L52" s="40">
        <v>3023.62</v>
      </c>
      <c r="M52" s="40">
        <v>1.82</v>
      </c>
      <c r="O52" s="40" t="s">
        <v>122</v>
      </c>
      <c r="P52" s="173"/>
      <c r="Q52" s="174"/>
      <c r="R52" s="1"/>
    </row>
    <row r="53" spans="1:18" x14ac:dyDescent="0.25">
      <c r="A53" s="40">
        <v>65</v>
      </c>
      <c r="B53" s="40" t="s">
        <v>201</v>
      </c>
      <c r="C53" s="14">
        <v>45378.703067129631</v>
      </c>
      <c r="D53" s="40">
        <v>0</v>
      </c>
      <c r="E53" s="40">
        <v>4669</v>
      </c>
      <c r="F53" s="40">
        <v>6</v>
      </c>
      <c r="G53" s="40">
        <v>2</v>
      </c>
      <c r="H53" s="40">
        <v>2</v>
      </c>
      <c r="I53" s="40">
        <v>300.02999999999997</v>
      </c>
      <c r="K53" s="40">
        <v>14290.98</v>
      </c>
      <c r="L53" s="40">
        <v>2872.37</v>
      </c>
      <c r="M53" s="40">
        <v>1.88</v>
      </c>
      <c r="O53" s="40"/>
      <c r="P53" s="173"/>
      <c r="Q53" s="174"/>
      <c r="R53" s="1"/>
    </row>
    <row r="54" spans="1:18" x14ac:dyDescent="0.25">
      <c r="A54" s="40">
        <v>65</v>
      </c>
      <c r="B54" s="40" t="s">
        <v>201</v>
      </c>
      <c r="C54" s="14">
        <v>45378.703067129631</v>
      </c>
      <c r="D54" s="40">
        <v>0</v>
      </c>
      <c r="E54" s="40">
        <v>4669</v>
      </c>
      <c r="F54" s="40">
        <v>6</v>
      </c>
      <c r="G54" s="40">
        <v>3</v>
      </c>
      <c r="H54" s="40">
        <v>3</v>
      </c>
      <c r="I54" s="40">
        <v>300.02999999999997</v>
      </c>
      <c r="K54" s="40">
        <v>7396.91</v>
      </c>
      <c r="L54" s="40">
        <v>1455.05</v>
      </c>
      <c r="M54" s="40">
        <v>2.62</v>
      </c>
      <c r="O54" s="40" t="s">
        <v>129</v>
      </c>
      <c r="P54" s="173"/>
      <c r="Q54" s="174"/>
      <c r="R54" s="1"/>
    </row>
    <row r="55" spans="1:18" x14ac:dyDescent="0.25">
      <c r="A55" s="40">
        <v>65</v>
      </c>
      <c r="B55" s="40" t="s">
        <v>201</v>
      </c>
      <c r="C55" s="14">
        <v>45378.703067129631</v>
      </c>
      <c r="D55" s="40">
        <v>0</v>
      </c>
      <c r="E55" s="40">
        <v>4669</v>
      </c>
      <c r="F55" s="40">
        <v>6</v>
      </c>
      <c r="G55" s="40">
        <v>4</v>
      </c>
      <c r="H55" s="40">
        <v>4</v>
      </c>
      <c r="I55" s="40">
        <v>300.02999999999997</v>
      </c>
      <c r="K55" s="40">
        <v>7623.13</v>
      </c>
      <c r="L55" s="40">
        <v>1512.66</v>
      </c>
      <c r="M55" s="40">
        <v>2.58</v>
      </c>
      <c r="O55" s="40"/>
      <c r="P55" s="173"/>
      <c r="Q55" s="174"/>
      <c r="R55" s="1"/>
    </row>
    <row r="56" spans="1:18" x14ac:dyDescent="0.25">
      <c r="A56" s="40">
        <v>65</v>
      </c>
      <c r="B56" s="40" t="s">
        <v>201</v>
      </c>
      <c r="C56" s="14">
        <v>45378.703067129631</v>
      </c>
      <c r="D56" s="40">
        <v>0</v>
      </c>
      <c r="E56" s="40">
        <v>4669</v>
      </c>
      <c r="F56" s="40">
        <v>6</v>
      </c>
      <c r="G56" s="40">
        <v>5</v>
      </c>
      <c r="H56" s="40">
        <v>5</v>
      </c>
      <c r="I56" s="40">
        <v>300.02999999999997</v>
      </c>
      <c r="K56" s="40">
        <v>7419.69</v>
      </c>
      <c r="L56" s="40">
        <v>1448.07</v>
      </c>
      <c r="M56" s="40">
        <v>2.61</v>
      </c>
      <c r="O56" s="40" t="s">
        <v>198</v>
      </c>
      <c r="P56" s="173" t="s">
        <v>35</v>
      </c>
      <c r="Q56" s="174" t="s">
        <v>131</v>
      </c>
      <c r="R56" s="1"/>
    </row>
    <row r="57" spans="1:18" x14ac:dyDescent="0.25">
      <c r="A57" s="40">
        <v>65</v>
      </c>
      <c r="B57" s="40" t="s">
        <v>201</v>
      </c>
      <c r="C57" s="14">
        <v>45378.706736111111</v>
      </c>
      <c r="D57" s="40">
        <v>0</v>
      </c>
      <c r="E57" s="40">
        <v>4669</v>
      </c>
      <c r="F57" s="40">
        <v>6</v>
      </c>
      <c r="G57" s="40">
        <v>1</v>
      </c>
      <c r="H57" s="40">
        <v>6</v>
      </c>
      <c r="I57" s="40">
        <v>300.04000000000002</v>
      </c>
      <c r="K57" s="40">
        <v>7530.53</v>
      </c>
      <c r="L57" s="40">
        <v>1490.88</v>
      </c>
      <c r="M57" s="40">
        <v>2.6</v>
      </c>
      <c r="O57" s="40"/>
      <c r="P57" s="173"/>
      <c r="Q57" s="174"/>
      <c r="R57" s="1"/>
    </row>
    <row r="58" spans="1:18" x14ac:dyDescent="0.25">
      <c r="A58" s="40">
        <v>65</v>
      </c>
      <c r="B58" s="40" t="s">
        <v>201</v>
      </c>
      <c r="C58" s="14">
        <v>45378.706736111111</v>
      </c>
      <c r="D58" s="40">
        <v>0</v>
      </c>
      <c r="E58" s="40">
        <v>4669</v>
      </c>
      <c r="F58" s="40">
        <v>6</v>
      </c>
      <c r="G58" s="40">
        <v>2</v>
      </c>
      <c r="H58" s="40">
        <v>7</v>
      </c>
      <c r="I58" s="40">
        <v>300.04000000000002</v>
      </c>
      <c r="K58" s="40">
        <v>7896.78</v>
      </c>
      <c r="L58" s="40">
        <v>1579.82</v>
      </c>
      <c r="M58" s="40">
        <v>2.5299999999999998</v>
      </c>
      <c r="O58" s="40" t="s">
        <v>199</v>
      </c>
      <c r="P58" s="173"/>
      <c r="Q58" s="174"/>
      <c r="R58" s="1"/>
    </row>
    <row r="59" spans="1:18" x14ac:dyDescent="0.25">
      <c r="A59" s="40">
        <v>65</v>
      </c>
      <c r="B59" s="40" t="s">
        <v>201</v>
      </c>
      <c r="C59" s="14">
        <v>45378.706736111111</v>
      </c>
      <c r="D59" s="40">
        <v>0</v>
      </c>
      <c r="E59" s="40">
        <v>4669</v>
      </c>
      <c r="F59" s="40">
        <v>6</v>
      </c>
      <c r="G59" s="40">
        <v>3</v>
      </c>
      <c r="H59" s="40">
        <v>8</v>
      </c>
      <c r="I59" s="40">
        <v>300.04000000000002</v>
      </c>
      <c r="K59" s="40">
        <v>8413.56</v>
      </c>
      <c r="L59" s="40">
        <v>1657.5</v>
      </c>
      <c r="M59" s="40">
        <v>2.4500000000000002</v>
      </c>
      <c r="O59" s="40"/>
      <c r="P59" s="173"/>
      <c r="Q59" s="174"/>
      <c r="R59" s="1"/>
    </row>
    <row r="60" spans="1:18" x14ac:dyDescent="0.25">
      <c r="A60" s="40">
        <v>65</v>
      </c>
      <c r="B60" s="40" t="s">
        <v>201</v>
      </c>
      <c r="C60" s="14">
        <v>45378.706736111111</v>
      </c>
      <c r="D60" s="40">
        <v>0</v>
      </c>
      <c r="E60" s="40">
        <v>4669</v>
      </c>
      <c r="F60" s="40">
        <v>6</v>
      </c>
      <c r="G60" s="40">
        <v>4</v>
      </c>
      <c r="H60" s="40">
        <v>9</v>
      </c>
      <c r="I60" s="40">
        <v>300.04000000000002</v>
      </c>
      <c r="K60" s="40">
        <v>7476.48</v>
      </c>
      <c r="L60" s="40">
        <v>1483.17</v>
      </c>
      <c r="M60" s="40">
        <v>2.6</v>
      </c>
      <c r="O60" s="40" t="s">
        <v>200</v>
      </c>
      <c r="P60" s="173"/>
      <c r="Q60" s="174"/>
      <c r="R60" s="1"/>
    </row>
    <row r="61" spans="1:18" x14ac:dyDescent="0.25">
      <c r="A61" s="40">
        <v>65</v>
      </c>
      <c r="B61" s="40" t="s">
        <v>201</v>
      </c>
      <c r="C61" s="14">
        <v>45378.706736111111</v>
      </c>
      <c r="D61" s="40">
        <v>0</v>
      </c>
      <c r="E61" s="40">
        <v>4669</v>
      </c>
      <c r="F61" s="40">
        <v>6</v>
      </c>
      <c r="G61" s="40">
        <v>5</v>
      </c>
      <c r="H61" s="40">
        <v>10</v>
      </c>
      <c r="I61" s="40">
        <v>300.04000000000002</v>
      </c>
      <c r="K61" s="40">
        <v>7912.97</v>
      </c>
      <c r="L61" s="40">
        <v>1545.52</v>
      </c>
      <c r="M61" s="40">
        <v>2.5299999999999998</v>
      </c>
      <c r="O61" s="40"/>
      <c r="P61" s="173"/>
      <c r="Q61" s="174"/>
      <c r="R61" s="1"/>
    </row>
    <row r="62" spans="1:18" x14ac:dyDescent="0.25">
      <c r="A62" s="40">
        <v>65</v>
      </c>
      <c r="B62" s="40" t="s">
        <v>201</v>
      </c>
      <c r="C62" s="14">
        <v>45378.710752314815</v>
      </c>
      <c r="D62" s="40">
        <v>0</v>
      </c>
      <c r="E62" s="40">
        <v>4669</v>
      </c>
      <c r="F62" s="40">
        <v>7</v>
      </c>
      <c r="G62" s="40">
        <v>1</v>
      </c>
      <c r="H62" s="40">
        <v>1</v>
      </c>
      <c r="I62" s="40">
        <v>300.04000000000002</v>
      </c>
      <c r="K62" s="40">
        <v>6860.31</v>
      </c>
      <c r="L62" s="40">
        <v>1356.37</v>
      </c>
      <c r="M62" s="40">
        <v>2.72</v>
      </c>
      <c r="O62" s="40" t="s">
        <v>121</v>
      </c>
      <c r="P62" s="173"/>
      <c r="Q62" s="174"/>
      <c r="R62" s="1"/>
    </row>
    <row r="63" spans="1:18" x14ac:dyDescent="0.25">
      <c r="A63" s="40">
        <v>65</v>
      </c>
      <c r="B63" s="40" t="s">
        <v>201</v>
      </c>
      <c r="C63" s="14">
        <v>45378.710752314815</v>
      </c>
      <c r="D63" s="40">
        <v>0</v>
      </c>
      <c r="E63" s="40">
        <v>4669</v>
      </c>
      <c r="F63" s="40">
        <v>7</v>
      </c>
      <c r="G63" s="40">
        <v>2</v>
      </c>
      <c r="H63" s="40">
        <v>2</v>
      </c>
      <c r="I63" s="40">
        <v>300.04000000000002</v>
      </c>
      <c r="K63" s="40">
        <v>7118.59</v>
      </c>
      <c r="L63" s="40">
        <v>1422.59</v>
      </c>
      <c r="M63" s="40">
        <v>2.67</v>
      </c>
      <c r="O63" s="40"/>
      <c r="P63" s="173"/>
      <c r="Q63" s="174"/>
      <c r="R63" s="1"/>
    </row>
    <row r="64" spans="1:18" x14ac:dyDescent="0.25">
      <c r="A64" s="40">
        <v>65</v>
      </c>
      <c r="B64" s="40" t="s">
        <v>201</v>
      </c>
      <c r="C64" s="14">
        <v>45378.710752314815</v>
      </c>
      <c r="D64" s="40">
        <v>0</v>
      </c>
      <c r="E64" s="40">
        <v>4669</v>
      </c>
      <c r="F64" s="40">
        <v>7</v>
      </c>
      <c r="G64" s="40">
        <v>3</v>
      </c>
      <c r="H64" s="40">
        <v>3</v>
      </c>
      <c r="I64" s="40">
        <v>300.04000000000002</v>
      </c>
      <c r="K64" s="40">
        <v>7457.66</v>
      </c>
      <c r="L64" s="40">
        <v>1467.19</v>
      </c>
      <c r="M64" s="40">
        <v>2.61</v>
      </c>
      <c r="O64" s="40" t="s">
        <v>122</v>
      </c>
      <c r="P64" s="173"/>
      <c r="Q64" s="174"/>
      <c r="R64" s="1"/>
    </row>
    <row r="65" spans="1:22" x14ac:dyDescent="0.25">
      <c r="A65" s="40">
        <v>65</v>
      </c>
      <c r="B65" s="40" t="s">
        <v>201</v>
      </c>
      <c r="C65" s="14">
        <v>45378.710752314815</v>
      </c>
      <c r="D65" s="40">
        <v>0</v>
      </c>
      <c r="E65" s="40">
        <v>4669</v>
      </c>
      <c r="F65" s="40">
        <v>7</v>
      </c>
      <c r="G65" s="40">
        <v>4</v>
      </c>
      <c r="H65" s="40">
        <v>4</v>
      </c>
      <c r="I65" s="40">
        <v>300.04000000000002</v>
      </c>
      <c r="K65" s="40">
        <v>7499.22</v>
      </c>
      <c r="L65" s="40">
        <v>1487.81</v>
      </c>
      <c r="M65" s="40">
        <v>2.6</v>
      </c>
      <c r="O65" s="40"/>
      <c r="P65" s="173"/>
      <c r="Q65" s="174"/>
      <c r="R65" s="1"/>
    </row>
    <row r="66" spans="1:22" x14ac:dyDescent="0.25">
      <c r="A66" s="40">
        <v>65</v>
      </c>
      <c r="B66" s="40" t="s">
        <v>201</v>
      </c>
      <c r="C66" s="14">
        <v>45378.710752314815</v>
      </c>
      <c r="D66" s="40">
        <v>0</v>
      </c>
      <c r="E66" s="40">
        <v>4669</v>
      </c>
      <c r="F66" s="40">
        <v>7</v>
      </c>
      <c r="G66" s="40">
        <v>5</v>
      </c>
      <c r="H66" s="40">
        <v>5</v>
      </c>
      <c r="I66" s="40">
        <v>300.04000000000002</v>
      </c>
      <c r="K66" s="40">
        <v>4686.1400000000003</v>
      </c>
      <c r="L66" s="40">
        <v>907.96</v>
      </c>
      <c r="M66" s="40">
        <v>3.3</v>
      </c>
      <c r="O66" s="40" t="s">
        <v>129</v>
      </c>
      <c r="P66" s="173"/>
      <c r="Q66" s="174"/>
      <c r="R66" s="1"/>
    </row>
    <row r="67" spans="1:22" x14ac:dyDescent="0.25">
      <c r="A67" s="40">
        <v>65</v>
      </c>
      <c r="B67" s="40" t="s">
        <v>201</v>
      </c>
      <c r="C67" s="14">
        <v>45378.714421296296</v>
      </c>
      <c r="D67" s="40">
        <v>0</v>
      </c>
      <c r="E67" s="40">
        <v>4669</v>
      </c>
      <c r="F67" s="40">
        <v>7</v>
      </c>
      <c r="G67" s="40">
        <v>1</v>
      </c>
      <c r="H67" s="40">
        <v>6</v>
      </c>
      <c r="I67" s="40">
        <v>300.04000000000002</v>
      </c>
      <c r="K67" s="40">
        <v>4306.8500000000004</v>
      </c>
      <c r="L67" s="40">
        <v>843.67</v>
      </c>
      <c r="M67" s="40">
        <v>3.45</v>
      </c>
      <c r="O67" s="40"/>
      <c r="P67" s="173"/>
      <c r="Q67" s="174"/>
      <c r="R67" s="1"/>
    </row>
    <row r="68" spans="1:22" x14ac:dyDescent="0.25">
      <c r="A68" s="40">
        <v>65</v>
      </c>
      <c r="B68" s="40" t="s">
        <v>201</v>
      </c>
      <c r="C68" s="14">
        <v>45378.714421296296</v>
      </c>
      <c r="D68" s="40">
        <v>0</v>
      </c>
      <c r="E68" s="40">
        <v>4669</v>
      </c>
      <c r="F68" s="40">
        <v>7</v>
      </c>
      <c r="G68" s="40">
        <v>2</v>
      </c>
      <c r="H68" s="40">
        <v>7</v>
      </c>
      <c r="I68" s="40">
        <v>300.04000000000002</v>
      </c>
      <c r="K68" s="40">
        <v>8239.69</v>
      </c>
      <c r="L68" s="40">
        <v>1649.28</v>
      </c>
      <c r="M68" s="40">
        <v>2.48</v>
      </c>
      <c r="O68" s="40" t="s">
        <v>198</v>
      </c>
      <c r="P68" s="173" t="s">
        <v>36</v>
      </c>
      <c r="Q68" s="174"/>
      <c r="R68" s="1"/>
    </row>
    <row r="69" spans="1:22" x14ac:dyDescent="0.25">
      <c r="A69" s="40">
        <v>65</v>
      </c>
      <c r="B69" s="40" t="s">
        <v>201</v>
      </c>
      <c r="C69" s="14">
        <v>45378.714421296296</v>
      </c>
      <c r="D69" s="40">
        <v>0</v>
      </c>
      <c r="E69" s="40">
        <v>4669</v>
      </c>
      <c r="F69" s="40">
        <v>7</v>
      </c>
      <c r="G69" s="40">
        <v>3</v>
      </c>
      <c r="H69" s="40">
        <v>8</v>
      </c>
      <c r="I69" s="40">
        <v>300.04000000000002</v>
      </c>
      <c r="K69" s="40">
        <v>9147.31</v>
      </c>
      <c r="L69" s="40">
        <v>1803.8</v>
      </c>
      <c r="M69" s="40">
        <v>2.35</v>
      </c>
      <c r="O69" s="40"/>
      <c r="P69" s="173"/>
      <c r="Q69" s="174"/>
      <c r="R69" s="1"/>
    </row>
    <row r="70" spans="1:22" x14ac:dyDescent="0.25">
      <c r="A70" s="40">
        <v>65</v>
      </c>
      <c r="B70" s="40" t="s">
        <v>201</v>
      </c>
      <c r="C70" s="14">
        <v>45378.714421296296</v>
      </c>
      <c r="D70" s="40">
        <v>0</v>
      </c>
      <c r="E70" s="40">
        <v>4669</v>
      </c>
      <c r="F70" s="40">
        <v>7</v>
      </c>
      <c r="G70" s="40">
        <v>4</v>
      </c>
      <c r="H70" s="40">
        <v>9</v>
      </c>
      <c r="I70" s="40">
        <v>300.04000000000002</v>
      </c>
      <c r="K70" s="40">
        <v>8327.93</v>
      </c>
      <c r="L70" s="40">
        <v>1654.37</v>
      </c>
      <c r="M70" s="40">
        <v>2.46</v>
      </c>
      <c r="O70" s="40" t="s">
        <v>199</v>
      </c>
      <c r="P70" s="173"/>
      <c r="Q70" s="174"/>
      <c r="R70" s="158"/>
      <c r="S70" s="34"/>
      <c r="T70" s="34"/>
    </row>
    <row r="71" spans="1:22" x14ac:dyDescent="0.25">
      <c r="A71" s="40">
        <v>65</v>
      </c>
      <c r="B71" s="40" t="s">
        <v>201</v>
      </c>
      <c r="C71" s="14">
        <v>45378.714421296296</v>
      </c>
      <c r="D71" s="40">
        <v>0</v>
      </c>
      <c r="E71" s="40">
        <v>4669</v>
      </c>
      <c r="F71" s="40">
        <v>7</v>
      </c>
      <c r="G71" s="40">
        <v>5</v>
      </c>
      <c r="H71" s="40">
        <v>10</v>
      </c>
      <c r="I71" s="40">
        <v>300.04000000000002</v>
      </c>
      <c r="K71" s="40">
        <v>8616.35</v>
      </c>
      <c r="L71" s="40">
        <v>1684.66</v>
      </c>
      <c r="M71" s="40">
        <v>2.42</v>
      </c>
      <c r="O71" s="40"/>
      <c r="P71" s="173"/>
      <c r="Q71" s="174"/>
      <c r="R71" s="158"/>
      <c r="S71" s="34"/>
      <c r="T71" s="34"/>
    </row>
    <row r="72" spans="1:22" x14ac:dyDescent="0.25">
      <c r="A72" s="40">
        <v>65</v>
      </c>
      <c r="B72" s="40" t="s">
        <v>201</v>
      </c>
      <c r="C72" s="14">
        <v>45378.718425925923</v>
      </c>
      <c r="D72" s="40">
        <v>0</v>
      </c>
      <c r="E72" s="40">
        <v>4669</v>
      </c>
      <c r="F72" s="40">
        <v>8</v>
      </c>
      <c r="G72" s="40">
        <v>1</v>
      </c>
      <c r="H72" s="40">
        <v>1</v>
      </c>
      <c r="I72" s="40">
        <v>300.04000000000002</v>
      </c>
      <c r="K72" s="40">
        <v>7476.9</v>
      </c>
      <c r="L72" s="40">
        <v>1480.31</v>
      </c>
      <c r="M72" s="40">
        <v>2.6</v>
      </c>
      <c r="O72" s="40" t="s">
        <v>200</v>
      </c>
      <c r="P72" s="173"/>
      <c r="Q72" s="174"/>
      <c r="R72" s="158"/>
      <c r="S72" s="34"/>
      <c r="T72" s="34"/>
      <c r="U72" s="34"/>
      <c r="V72" s="34"/>
    </row>
    <row r="73" spans="1:22" x14ac:dyDescent="0.25">
      <c r="A73" s="40">
        <v>65</v>
      </c>
      <c r="B73" s="40" t="s">
        <v>201</v>
      </c>
      <c r="C73" s="14">
        <v>45378.718425925923</v>
      </c>
      <c r="D73" s="40">
        <v>0</v>
      </c>
      <c r="E73" s="40">
        <v>4669</v>
      </c>
      <c r="F73" s="40">
        <v>8</v>
      </c>
      <c r="G73" s="40">
        <v>2</v>
      </c>
      <c r="H73" s="40">
        <v>2</v>
      </c>
      <c r="I73" s="40">
        <v>300.04000000000002</v>
      </c>
      <c r="K73" s="40">
        <v>7890.95</v>
      </c>
      <c r="L73" s="40">
        <v>1578.86</v>
      </c>
      <c r="M73" s="40">
        <v>2.5299999999999998</v>
      </c>
      <c r="O73" s="40"/>
      <c r="P73" s="173"/>
      <c r="Q73" s="174"/>
      <c r="R73" s="158"/>
      <c r="S73" s="34"/>
      <c r="T73" s="34"/>
      <c r="U73" s="34"/>
      <c r="V73" s="34"/>
    </row>
    <row r="74" spans="1:22" s="40" customFormat="1" x14ac:dyDescent="0.25">
      <c r="A74" s="40">
        <v>65</v>
      </c>
      <c r="B74" s="40" t="s">
        <v>201</v>
      </c>
      <c r="C74" s="14">
        <v>45378.718425925923</v>
      </c>
      <c r="D74" s="40">
        <v>0</v>
      </c>
      <c r="E74" s="40">
        <v>4669</v>
      </c>
      <c r="F74" s="40">
        <v>8</v>
      </c>
      <c r="G74" s="40">
        <v>3</v>
      </c>
      <c r="H74" s="40">
        <v>3</v>
      </c>
      <c r="I74" s="40">
        <v>300.04000000000002</v>
      </c>
      <c r="K74" s="40">
        <v>7811.99</v>
      </c>
      <c r="L74" s="40">
        <v>1537.9</v>
      </c>
      <c r="M74" s="40">
        <v>2.54</v>
      </c>
      <c r="O74" s="40" t="s">
        <v>121</v>
      </c>
      <c r="P74" s="173"/>
      <c r="Q74" s="174"/>
      <c r="R74" s="158"/>
      <c r="S74" s="34"/>
      <c r="T74" s="34"/>
      <c r="U74" s="34"/>
      <c r="V74" s="34"/>
    </row>
    <row r="75" spans="1:22" s="40" customFormat="1" x14ac:dyDescent="0.25">
      <c r="A75" s="40">
        <v>65</v>
      </c>
      <c r="B75" s="40" t="s">
        <v>201</v>
      </c>
      <c r="C75" s="14">
        <v>45378.718425925923</v>
      </c>
      <c r="D75" s="40">
        <v>0</v>
      </c>
      <c r="E75" s="40">
        <v>4669</v>
      </c>
      <c r="F75" s="40">
        <v>8</v>
      </c>
      <c r="G75" s="40">
        <v>4</v>
      </c>
      <c r="H75" s="40">
        <v>4</v>
      </c>
      <c r="I75" s="40">
        <v>300.04000000000002</v>
      </c>
      <c r="K75" s="40">
        <v>7359.96</v>
      </c>
      <c r="L75" s="40">
        <v>1459.96</v>
      </c>
      <c r="M75" s="40">
        <v>2.62</v>
      </c>
      <c r="P75" s="173"/>
      <c r="Q75" s="174"/>
      <c r="R75" s="158"/>
      <c r="S75" s="34"/>
      <c r="T75" s="34"/>
      <c r="U75" s="34"/>
      <c r="V75" s="34"/>
    </row>
    <row r="76" spans="1:22" ht="12" customHeight="1" x14ac:dyDescent="0.25">
      <c r="A76" s="40">
        <v>65</v>
      </c>
      <c r="B76" s="40" t="s">
        <v>201</v>
      </c>
      <c r="C76" s="14">
        <v>45378.718425925923</v>
      </c>
      <c r="D76" s="40">
        <v>0</v>
      </c>
      <c r="E76" s="40">
        <v>4669</v>
      </c>
      <c r="F76" s="40">
        <v>8</v>
      </c>
      <c r="G76" s="40">
        <v>5</v>
      </c>
      <c r="H76" s="40">
        <v>5</v>
      </c>
      <c r="I76" s="40">
        <v>300.04000000000002</v>
      </c>
      <c r="K76" s="40">
        <v>7373.34</v>
      </c>
      <c r="L76" s="40">
        <v>1439.08</v>
      </c>
      <c r="M76" s="40">
        <v>2.62</v>
      </c>
      <c r="O76" s="40" t="s">
        <v>122</v>
      </c>
      <c r="P76" s="173"/>
      <c r="Q76" s="174"/>
      <c r="R76" s="158"/>
      <c r="S76" s="34"/>
      <c r="T76" s="34"/>
      <c r="U76" s="34"/>
      <c r="V76" s="34"/>
    </row>
    <row r="77" spans="1:22" x14ac:dyDescent="0.25">
      <c r="A77" s="40">
        <v>65</v>
      </c>
      <c r="B77" s="40" t="s">
        <v>201</v>
      </c>
      <c r="C77" s="14">
        <v>45378.722094907411</v>
      </c>
      <c r="D77" s="40">
        <v>0</v>
      </c>
      <c r="E77" s="40">
        <v>4669</v>
      </c>
      <c r="F77" s="40">
        <v>8</v>
      </c>
      <c r="G77" s="40">
        <v>1</v>
      </c>
      <c r="H77" s="40">
        <v>6</v>
      </c>
      <c r="I77" s="40">
        <v>300.04000000000002</v>
      </c>
      <c r="K77" s="40">
        <v>7525.62</v>
      </c>
      <c r="L77" s="40">
        <v>1490.16</v>
      </c>
      <c r="M77" s="40">
        <v>2.6</v>
      </c>
      <c r="O77" s="40"/>
      <c r="P77" s="173"/>
      <c r="Q77" s="174"/>
      <c r="R77" s="158"/>
      <c r="S77" s="34"/>
      <c r="T77" s="34"/>
      <c r="U77" s="34"/>
      <c r="V77" s="34"/>
    </row>
    <row r="78" spans="1:22" ht="17.25" customHeight="1" x14ac:dyDescent="0.25">
      <c r="A78" s="40">
        <v>65</v>
      </c>
      <c r="B78" s="40" t="s">
        <v>201</v>
      </c>
      <c r="C78" s="14">
        <v>45378.722094907411</v>
      </c>
      <c r="D78" s="40">
        <v>0</v>
      </c>
      <c r="E78" s="40">
        <v>4669</v>
      </c>
      <c r="F78" s="40">
        <v>8</v>
      </c>
      <c r="G78" s="40">
        <v>2</v>
      </c>
      <c r="H78" s="40">
        <v>7</v>
      </c>
      <c r="I78" s="40">
        <v>300.04000000000002</v>
      </c>
      <c r="K78" s="40">
        <v>5803.93</v>
      </c>
      <c r="L78" s="40">
        <v>1157.01</v>
      </c>
      <c r="M78" s="40">
        <v>2.96</v>
      </c>
      <c r="O78" s="40" t="s">
        <v>129</v>
      </c>
      <c r="P78" s="173"/>
      <c r="Q78" s="174"/>
      <c r="R78" s="158"/>
      <c r="S78" s="34"/>
      <c r="T78" s="34"/>
      <c r="U78" s="34"/>
      <c r="V78" s="34"/>
    </row>
    <row r="79" spans="1:22" x14ac:dyDescent="0.25">
      <c r="A79" s="40">
        <v>65</v>
      </c>
      <c r="B79" s="40" t="s">
        <v>201</v>
      </c>
      <c r="C79" s="14">
        <v>45378.722094907411</v>
      </c>
      <c r="D79" s="40">
        <v>0</v>
      </c>
      <c r="E79" s="40">
        <v>4669</v>
      </c>
      <c r="F79" s="40">
        <v>8</v>
      </c>
      <c r="G79" s="40">
        <v>3</v>
      </c>
      <c r="H79" s="40">
        <v>8</v>
      </c>
      <c r="I79" s="40">
        <v>300.04000000000002</v>
      </c>
      <c r="K79" s="40">
        <v>6072.72</v>
      </c>
      <c r="L79" s="40">
        <v>1191.52</v>
      </c>
      <c r="M79" s="40">
        <v>2.89</v>
      </c>
      <c r="O79" s="40"/>
      <c r="P79" s="173"/>
      <c r="Q79" s="174"/>
      <c r="R79" s="158"/>
      <c r="S79" s="34"/>
      <c r="T79" s="34"/>
      <c r="U79" s="34"/>
      <c r="V79" s="34"/>
    </row>
    <row r="80" spans="1:22" x14ac:dyDescent="0.25">
      <c r="A80" s="40">
        <v>65</v>
      </c>
      <c r="B80" s="40" t="s">
        <v>201</v>
      </c>
      <c r="C80" s="14">
        <v>45378.722094907411</v>
      </c>
      <c r="D80" s="40">
        <v>0</v>
      </c>
      <c r="E80" s="40">
        <v>4669</v>
      </c>
      <c r="F80" s="40">
        <v>8</v>
      </c>
      <c r="G80" s="40">
        <v>4</v>
      </c>
      <c r="H80" s="40">
        <v>9</v>
      </c>
      <c r="I80" s="40">
        <v>300.04000000000002</v>
      </c>
      <c r="K80" s="40">
        <v>92</v>
      </c>
      <c r="L80" s="40">
        <v>0</v>
      </c>
      <c r="M80" s="40">
        <v>0</v>
      </c>
      <c r="N80" s="40" t="s">
        <v>202</v>
      </c>
      <c r="O80" s="40"/>
      <c r="P80" s="168"/>
      <c r="Q80" s="151"/>
      <c r="R80" s="158"/>
      <c r="S80" s="34"/>
      <c r="T80" s="34"/>
      <c r="U80" s="34"/>
      <c r="V80" s="34"/>
    </row>
    <row r="81" spans="1:22" x14ac:dyDescent="0.25">
      <c r="A81" s="40">
        <v>65</v>
      </c>
      <c r="B81" s="40" t="s">
        <v>201</v>
      </c>
      <c r="C81" s="14">
        <v>45378.722094907411</v>
      </c>
      <c r="D81" s="40">
        <v>0</v>
      </c>
      <c r="E81" s="40">
        <v>4669</v>
      </c>
      <c r="F81" s="40">
        <v>8</v>
      </c>
      <c r="G81" s="40">
        <v>5</v>
      </c>
      <c r="H81" s="40">
        <v>10</v>
      </c>
      <c r="I81" s="40">
        <v>300.04000000000002</v>
      </c>
      <c r="K81" s="40">
        <v>99.98</v>
      </c>
      <c r="L81" s="40">
        <v>1.77</v>
      </c>
      <c r="M81" s="40">
        <v>74.63</v>
      </c>
      <c r="N81" s="40" t="s">
        <v>202</v>
      </c>
      <c r="O81" s="40"/>
      <c r="P81" s="168"/>
      <c r="Q81" s="151"/>
      <c r="R81" s="158"/>
      <c r="S81" s="34"/>
      <c r="T81" s="34"/>
      <c r="U81" s="34"/>
      <c r="V81" s="34"/>
    </row>
    <row r="82" spans="1:22" x14ac:dyDescent="0.25">
      <c r="O82" s="40"/>
      <c r="P82" s="168"/>
      <c r="Q82" s="151"/>
      <c r="R82" s="158"/>
      <c r="S82" s="34"/>
      <c r="T82" s="34"/>
      <c r="U82" s="34"/>
      <c r="V82" s="34"/>
    </row>
    <row r="83" spans="1:22" x14ac:dyDescent="0.25">
      <c r="O83" s="40"/>
      <c r="P83" s="168"/>
      <c r="Q83" s="151"/>
      <c r="R83" s="34"/>
      <c r="S83" s="34"/>
      <c r="T83" s="34"/>
      <c r="U83" s="34"/>
      <c r="V83" s="34"/>
    </row>
    <row r="84" spans="1:22" x14ac:dyDescent="0.25">
      <c r="O84" s="40"/>
      <c r="P84" s="168"/>
      <c r="Q84" s="151"/>
      <c r="R84" s="34"/>
      <c r="S84" s="34"/>
      <c r="T84" s="34"/>
      <c r="U84" s="34"/>
      <c r="V84" s="34"/>
    </row>
    <row r="85" spans="1:22" x14ac:dyDescent="0.25">
      <c r="O85" s="40"/>
      <c r="P85" s="168"/>
      <c r="Q85" s="151"/>
      <c r="R85" s="34"/>
      <c r="S85" s="34"/>
      <c r="T85" s="34"/>
      <c r="U85" s="34"/>
      <c r="V85" s="34"/>
    </row>
    <row r="86" spans="1:22" x14ac:dyDescent="0.25">
      <c r="O86" s="40"/>
      <c r="P86" s="168"/>
      <c r="Q86" s="151"/>
      <c r="R86" s="34"/>
      <c r="S86" s="34"/>
      <c r="T86" s="34"/>
      <c r="U86" s="34"/>
      <c r="V86" s="34"/>
    </row>
    <row r="87" spans="1:22" x14ac:dyDescent="0.25">
      <c r="O87" s="40"/>
      <c r="P87" s="168"/>
      <c r="Q87" s="151"/>
      <c r="R87" s="34"/>
      <c r="S87" s="34"/>
      <c r="T87" s="34"/>
      <c r="U87" s="34"/>
      <c r="V87" s="34"/>
    </row>
    <row r="88" spans="1:22" x14ac:dyDescent="0.25">
      <c r="O88" s="40"/>
      <c r="P88" s="168"/>
      <c r="Q88" s="151"/>
      <c r="R88" s="34"/>
      <c r="S88" s="34"/>
      <c r="T88" s="34"/>
      <c r="U88" s="34"/>
      <c r="V88" s="34"/>
    </row>
    <row r="89" spans="1:22" x14ac:dyDescent="0.25">
      <c r="O89" s="40"/>
      <c r="P89" s="168"/>
      <c r="Q89" s="151"/>
      <c r="R89" s="34"/>
      <c r="S89" s="34"/>
      <c r="T89" s="34"/>
      <c r="U89" s="34"/>
      <c r="V89" s="34"/>
    </row>
    <row r="90" spans="1:22" x14ac:dyDescent="0.25">
      <c r="O90" s="40"/>
      <c r="P90" s="168"/>
      <c r="Q90" s="151"/>
      <c r="R90" s="34"/>
      <c r="S90" s="34"/>
      <c r="T90" s="34"/>
      <c r="U90" s="34"/>
      <c r="V90" s="34"/>
    </row>
    <row r="91" spans="1:22" x14ac:dyDescent="0.25">
      <c r="O91" s="40"/>
      <c r="P91" s="168"/>
      <c r="Q91" s="151"/>
      <c r="R91" s="34"/>
      <c r="S91" s="34"/>
      <c r="T91" s="34"/>
      <c r="U91" s="34"/>
      <c r="V91" s="34"/>
    </row>
    <row r="92" spans="1:22" x14ac:dyDescent="0.25">
      <c r="O92" s="40"/>
      <c r="P92" s="168"/>
      <c r="Q92" s="151"/>
      <c r="R92" s="34"/>
      <c r="S92" s="34"/>
      <c r="T92" s="34"/>
      <c r="U92" s="34"/>
      <c r="V92" s="34"/>
    </row>
    <row r="93" spans="1:22" x14ac:dyDescent="0.25">
      <c r="O93" s="40"/>
      <c r="P93" s="168"/>
      <c r="Q93" s="151"/>
      <c r="R93" s="34"/>
      <c r="S93" s="34"/>
      <c r="T93" s="34"/>
      <c r="U93" s="34"/>
      <c r="V93" s="34"/>
    </row>
    <row r="94" spans="1:22" x14ac:dyDescent="0.25">
      <c r="O94" s="40"/>
      <c r="P94" s="168"/>
      <c r="Q94" s="151"/>
      <c r="R94" s="34"/>
      <c r="S94" s="34"/>
      <c r="T94" s="34"/>
      <c r="U94" s="34"/>
      <c r="V94" s="34"/>
    </row>
    <row r="95" spans="1:22" x14ac:dyDescent="0.25">
      <c r="O95" s="40"/>
      <c r="P95" s="168"/>
      <c r="Q95" s="151"/>
      <c r="R95" s="34"/>
      <c r="S95" s="34"/>
      <c r="T95" s="34"/>
      <c r="U95" s="34"/>
      <c r="V95" s="34"/>
    </row>
    <row r="96" spans="1:22" x14ac:dyDescent="0.25">
      <c r="O96" s="40"/>
      <c r="P96" s="168"/>
      <c r="Q96" s="151"/>
      <c r="R96" s="34"/>
      <c r="S96" s="34"/>
      <c r="T96" s="34"/>
      <c r="U96" s="34"/>
      <c r="V96" s="34"/>
    </row>
    <row r="97" spans="15:22" x14ac:dyDescent="0.25">
      <c r="O97" s="40"/>
      <c r="P97" s="168"/>
      <c r="Q97" s="151"/>
      <c r="R97" s="34"/>
      <c r="S97" s="34"/>
      <c r="T97" s="34"/>
      <c r="U97" s="34"/>
      <c r="V97" s="34"/>
    </row>
    <row r="98" spans="15:22" x14ac:dyDescent="0.25">
      <c r="O98" s="40"/>
      <c r="P98" s="168"/>
      <c r="Q98" s="151"/>
      <c r="R98" s="34"/>
      <c r="S98" s="34"/>
      <c r="T98" s="34"/>
      <c r="U98" s="34"/>
      <c r="V98" s="34"/>
    </row>
    <row r="99" spans="15:22" x14ac:dyDescent="0.25">
      <c r="O99" s="40"/>
      <c r="P99" s="168"/>
      <c r="Q99" s="151"/>
      <c r="R99" s="34"/>
      <c r="S99" s="34"/>
      <c r="T99" s="34"/>
      <c r="U99" s="34"/>
      <c r="V99" s="34"/>
    </row>
    <row r="100" spans="15:22" x14ac:dyDescent="0.25">
      <c r="O100" s="40"/>
      <c r="P100" s="168"/>
      <c r="Q100" s="151"/>
      <c r="R100" s="34"/>
      <c r="S100" s="34"/>
      <c r="T100" s="34"/>
      <c r="U100" s="34"/>
      <c r="V100" s="34"/>
    </row>
    <row r="101" spans="15:22" x14ac:dyDescent="0.25">
      <c r="O101" s="40"/>
      <c r="P101" s="168"/>
      <c r="Q101" s="151"/>
      <c r="R101" s="34"/>
      <c r="S101" s="34"/>
      <c r="T101" s="34"/>
      <c r="U101" s="34"/>
      <c r="V101" s="34"/>
    </row>
    <row r="102" spans="15:22" x14ac:dyDescent="0.25">
      <c r="O102" s="40"/>
      <c r="P102" s="168"/>
      <c r="Q102" s="151"/>
      <c r="R102" s="34"/>
      <c r="S102" s="34"/>
      <c r="T102" s="34"/>
      <c r="U102" s="34"/>
      <c r="V102" s="34"/>
    </row>
    <row r="103" spans="15:22" x14ac:dyDescent="0.25">
      <c r="O103" s="40"/>
      <c r="P103" s="168"/>
      <c r="Q103" s="151"/>
      <c r="R103" s="34"/>
      <c r="S103" s="34"/>
      <c r="T103" s="34"/>
      <c r="U103" s="34"/>
      <c r="V103" s="34"/>
    </row>
    <row r="104" spans="15:22" x14ac:dyDescent="0.25">
      <c r="O104" s="40"/>
      <c r="P104" s="168"/>
      <c r="Q104" s="151"/>
      <c r="R104" s="34"/>
      <c r="S104" s="34"/>
      <c r="T104" s="34"/>
      <c r="U104" s="34"/>
      <c r="V104" s="34"/>
    </row>
    <row r="105" spans="15:22" x14ac:dyDescent="0.25">
      <c r="O105" s="40"/>
      <c r="P105" s="168"/>
      <c r="Q105" s="151"/>
      <c r="R105" s="34"/>
      <c r="S105" s="34"/>
      <c r="T105" s="34"/>
      <c r="U105" s="34"/>
      <c r="V105" s="34"/>
    </row>
    <row r="106" spans="15:22" x14ac:dyDescent="0.25">
      <c r="O106" s="40"/>
      <c r="P106" s="168"/>
      <c r="Q106" s="151"/>
      <c r="R106" s="34"/>
      <c r="S106" s="34"/>
      <c r="T106" s="34"/>
      <c r="U106" s="34"/>
      <c r="V106" s="34"/>
    </row>
    <row r="107" spans="15:22" x14ac:dyDescent="0.25">
      <c r="O107" s="40"/>
      <c r="P107" s="168"/>
      <c r="Q107" s="151"/>
      <c r="R107" s="34"/>
      <c r="S107" s="34"/>
      <c r="T107" s="34"/>
      <c r="U107" s="34"/>
      <c r="V107" s="34"/>
    </row>
    <row r="108" spans="15:22" x14ac:dyDescent="0.25">
      <c r="O108" s="40"/>
      <c r="P108" s="168"/>
      <c r="Q108" s="151"/>
      <c r="R108" s="34"/>
      <c r="S108" s="34"/>
      <c r="T108" s="34"/>
      <c r="U108" s="34"/>
      <c r="V108" s="34"/>
    </row>
    <row r="109" spans="15:22" x14ac:dyDescent="0.25">
      <c r="O109" s="40"/>
      <c r="P109" s="168"/>
      <c r="Q109" s="151"/>
      <c r="R109" s="34"/>
      <c r="S109" s="34"/>
      <c r="T109" s="34"/>
      <c r="U109" s="34"/>
      <c r="V109" s="34"/>
    </row>
    <row r="110" spans="15:22" x14ac:dyDescent="0.25">
      <c r="O110" s="40"/>
      <c r="P110" s="168"/>
      <c r="Q110" s="151"/>
      <c r="R110" s="34"/>
      <c r="S110" s="34"/>
      <c r="T110" s="34"/>
      <c r="U110" s="34"/>
      <c r="V110" s="34"/>
    </row>
    <row r="111" spans="15:22" x14ac:dyDescent="0.25">
      <c r="O111" s="40"/>
      <c r="P111" s="168"/>
      <c r="Q111" s="151"/>
      <c r="R111" s="34"/>
      <c r="S111" s="34"/>
      <c r="T111" s="34"/>
      <c r="U111" s="34"/>
      <c r="V111" s="34"/>
    </row>
    <row r="112" spans="15:22" x14ac:dyDescent="0.25">
      <c r="O112" s="40"/>
      <c r="P112" s="168"/>
      <c r="Q112" s="151"/>
      <c r="R112" s="34"/>
      <c r="S112" s="34"/>
      <c r="T112" s="34"/>
      <c r="U112" s="34"/>
      <c r="V112" s="34"/>
    </row>
    <row r="113" spans="15:22" x14ac:dyDescent="0.25">
      <c r="O113" s="40"/>
      <c r="P113" s="168"/>
      <c r="Q113" s="151"/>
      <c r="R113" s="34"/>
      <c r="S113" s="34"/>
      <c r="T113" s="34"/>
      <c r="U113" s="34"/>
      <c r="V113" s="34"/>
    </row>
    <row r="114" spans="15:22" x14ac:dyDescent="0.25">
      <c r="O114" s="40"/>
      <c r="P114" s="168"/>
      <c r="Q114" s="151"/>
      <c r="R114" s="34"/>
      <c r="S114" s="34"/>
      <c r="T114" s="34"/>
      <c r="U114" s="34"/>
      <c r="V114" s="34"/>
    </row>
    <row r="115" spans="15:22" x14ac:dyDescent="0.25">
      <c r="O115" s="40"/>
      <c r="P115" s="168"/>
      <c r="Q115" s="151"/>
      <c r="R115" s="34"/>
      <c r="S115" s="34"/>
      <c r="T115" s="34"/>
      <c r="U115" s="34"/>
      <c r="V115" s="34"/>
    </row>
    <row r="116" spans="15:22" x14ac:dyDescent="0.25">
      <c r="O116" s="40"/>
      <c r="P116" s="168"/>
      <c r="Q116" s="151"/>
      <c r="R116" s="34"/>
      <c r="S116" s="34"/>
      <c r="T116" s="34"/>
      <c r="U116" s="34"/>
      <c r="V116" s="34"/>
    </row>
    <row r="117" spans="15:22" x14ac:dyDescent="0.25">
      <c r="O117" s="40"/>
      <c r="P117" s="168"/>
      <c r="Q117" s="151"/>
      <c r="R117" s="34"/>
      <c r="S117" s="34"/>
      <c r="T117" s="34"/>
      <c r="U117" s="34"/>
      <c r="V117" s="34"/>
    </row>
    <row r="118" spans="15:22" x14ac:dyDescent="0.25">
      <c r="O118" s="40"/>
      <c r="P118" s="168"/>
      <c r="Q118" s="151"/>
      <c r="R118" s="34"/>
      <c r="S118" s="34"/>
      <c r="T118" s="34"/>
      <c r="U118" s="34"/>
      <c r="V118" s="34"/>
    </row>
    <row r="119" spans="15:22" x14ac:dyDescent="0.25">
      <c r="O119" s="40"/>
      <c r="P119" s="168"/>
      <c r="Q119" s="151"/>
      <c r="R119" s="34"/>
      <c r="S119" s="34"/>
      <c r="T119" s="34"/>
      <c r="U119" s="34"/>
      <c r="V119" s="34"/>
    </row>
    <row r="120" spans="15:22" x14ac:dyDescent="0.25">
      <c r="O120" s="40"/>
      <c r="P120" s="168"/>
      <c r="Q120" s="151"/>
      <c r="R120" s="34"/>
      <c r="S120" s="34"/>
      <c r="T120" s="34"/>
      <c r="U120" s="34"/>
      <c r="V120" s="34"/>
    </row>
    <row r="121" spans="15:22" x14ac:dyDescent="0.25">
      <c r="O121" s="40"/>
      <c r="P121" s="168"/>
      <c r="Q121" s="151"/>
      <c r="R121" s="34"/>
      <c r="S121" s="34"/>
      <c r="T121" s="34"/>
      <c r="U121" s="34"/>
      <c r="V121" s="34"/>
    </row>
    <row r="122" spans="15:22" x14ac:dyDescent="0.25">
      <c r="O122" s="40"/>
      <c r="P122" s="168"/>
      <c r="Q122" s="151"/>
      <c r="R122" s="34"/>
      <c r="S122" s="34"/>
      <c r="T122" s="34"/>
      <c r="U122" s="34"/>
      <c r="V122" s="34"/>
    </row>
    <row r="123" spans="15:22" x14ac:dyDescent="0.25">
      <c r="O123" s="40"/>
      <c r="P123" s="168"/>
      <c r="Q123" s="151"/>
      <c r="R123" s="34"/>
      <c r="S123" s="34"/>
      <c r="T123" s="34"/>
      <c r="U123" s="34"/>
      <c r="V123" s="34"/>
    </row>
    <row r="124" spans="15:22" x14ac:dyDescent="0.25">
      <c r="O124" s="40"/>
      <c r="P124" s="168"/>
      <c r="Q124" s="151"/>
      <c r="R124" s="34"/>
      <c r="S124" s="34"/>
      <c r="T124" s="34"/>
      <c r="U124" s="34"/>
      <c r="V124" s="34"/>
    </row>
    <row r="125" spans="15:22" x14ac:dyDescent="0.25">
      <c r="O125" s="40"/>
      <c r="P125" s="168"/>
      <c r="Q125" s="151"/>
      <c r="R125" s="34"/>
      <c r="S125" s="34"/>
      <c r="T125" s="34"/>
      <c r="U125" s="34"/>
      <c r="V125" s="34"/>
    </row>
    <row r="126" spans="15:22" x14ac:dyDescent="0.25">
      <c r="O126" s="40"/>
      <c r="P126" s="168"/>
      <c r="Q126" s="151"/>
      <c r="R126" s="34"/>
      <c r="S126" s="34"/>
      <c r="T126" s="34"/>
      <c r="U126" s="34"/>
      <c r="V126" s="34"/>
    </row>
    <row r="127" spans="15:22" x14ac:dyDescent="0.25">
      <c r="O127" s="40"/>
      <c r="P127" s="168"/>
      <c r="Q127" s="151"/>
      <c r="R127" s="34"/>
      <c r="S127" s="34"/>
      <c r="T127" s="34"/>
      <c r="U127" s="34"/>
      <c r="V127" s="34"/>
    </row>
    <row r="128" spans="15:22" x14ac:dyDescent="0.25">
      <c r="O128" s="40"/>
      <c r="P128" s="168"/>
      <c r="Q128" s="151"/>
      <c r="R128" s="34"/>
      <c r="S128" s="34"/>
      <c r="T128" s="34"/>
      <c r="U128" s="34"/>
      <c r="V128" s="34"/>
    </row>
    <row r="129" spans="15:22" x14ac:dyDescent="0.25">
      <c r="O129" s="40"/>
      <c r="P129" s="168"/>
      <c r="Q129" s="151"/>
      <c r="R129" s="34"/>
      <c r="S129" s="34"/>
      <c r="T129" s="34"/>
      <c r="U129" s="34"/>
      <c r="V129" s="34"/>
    </row>
    <row r="130" spans="15:22" x14ac:dyDescent="0.25">
      <c r="O130" s="40"/>
      <c r="P130" s="168"/>
      <c r="Q130" s="151"/>
      <c r="R130" s="34"/>
      <c r="S130" s="34"/>
      <c r="T130" s="34"/>
      <c r="U130" s="34"/>
      <c r="V130" s="34"/>
    </row>
    <row r="131" spans="15:22" x14ac:dyDescent="0.25">
      <c r="O131" s="40"/>
      <c r="P131" s="168"/>
      <c r="Q131" s="151"/>
      <c r="R131" s="34"/>
      <c r="S131" s="34"/>
      <c r="T131" s="34"/>
      <c r="U131" s="34"/>
      <c r="V131" s="34"/>
    </row>
    <row r="132" spans="15:22" x14ac:dyDescent="0.25">
      <c r="O132" s="40"/>
      <c r="P132" s="168"/>
      <c r="Q132" s="151"/>
      <c r="R132" s="34"/>
      <c r="S132" s="34"/>
      <c r="T132" s="34"/>
      <c r="U132" s="34"/>
      <c r="V132" s="34"/>
    </row>
    <row r="133" spans="15:22" x14ac:dyDescent="0.25">
      <c r="O133" s="40"/>
      <c r="P133" s="168"/>
      <c r="Q133" s="151"/>
      <c r="R133" s="34"/>
      <c r="S133" s="34"/>
      <c r="T133" s="34"/>
      <c r="U133" s="34"/>
      <c r="V133" s="34"/>
    </row>
    <row r="134" spans="15:22" x14ac:dyDescent="0.25">
      <c r="O134" s="40"/>
      <c r="P134" s="168"/>
      <c r="Q134" s="151"/>
      <c r="R134" s="34"/>
      <c r="S134" s="34"/>
      <c r="T134" s="34"/>
      <c r="U134" s="34"/>
      <c r="V134" s="34"/>
    </row>
    <row r="135" spans="15:22" x14ac:dyDescent="0.25">
      <c r="O135" s="40"/>
      <c r="P135" s="168"/>
      <c r="Q135" s="151"/>
      <c r="R135" s="34"/>
      <c r="S135" s="34"/>
      <c r="T135" s="34"/>
      <c r="U135" s="34"/>
      <c r="V135" s="34"/>
    </row>
    <row r="136" spans="15:22" x14ac:dyDescent="0.25">
      <c r="O136" s="40"/>
      <c r="P136" s="168"/>
      <c r="Q136" s="151"/>
      <c r="R136" s="34"/>
      <c r="S136" s="34"/>
      <c r="T136" s="34"/>
      <c r="U136" s="34"/>
      <c r="V136" s="34"/>
    </row>
    <row r="137" spans="15:22" x14ac:dyDescent="0.25">
      <c r="O137" s="40"/>
      <c r="P137" s="168"/>
      <c r="Q137" s="151"/>
      <c r="R137" s="34"/>
      <c r="S137" s="34"/>
      <c r="T137" s="34"/>
      <c r="U137" s="34"/>
      <c r="V137" s="34"/>
    </row>
    <row r="138" spans="15:22" x14ac:dyDescent="0.25">
      <c r="O138" s="40"/>
      <c r="P138" s="168"/>
      <c r="Q138" s="151"/>
      <c r="R138" s="34"/>
      <c r="S138" s="34"/>
      <c r="T138" s="34"/>
      <c r="U138" s="34"/>
      <c r="V138" s="34"/>
    </row>
    <row r="139" spans="15:22" x14ac:dyDescent="0.25">
      <c r="O139" s="40"/>
      <c r="P139" s="168"/>
      <c r="Q139" s="151"/>
      <c r="R139" s="34"/>
      <c r="S139" s="34"/>
      <c r="T139" s="34"/>
      <c r="U139" s="34"/>
      <c r="V139" s="34"/>
    </row>
    <row r="140" spans="15:22" x14ac:dyDescent="0.25">
      <c r="O140" s="40"/>
      <c r="P140" s="168"/>
      <c r="Q140" s="151"/>
      <c r="R140" s="34"/>
      <c r="S140" s="34"/>
      <c r="T140" s="34"/>
      <c r="U140" s="34"/>
      <c r="V140" s="34"/>
    </row>
    <row r="141" spans="15:22" x14ac:dyDescent="0.25">
      <c r="O141" s="40"/>
      <c r="P141" s="168"/>
      <c r="Q141" s="151"/>
      <c r="R141" s="34"/>
      <c r="S141" s="34"/>
      <c r="T141" s="34"/>
      <c r="U141" s="34"/>
      <c r="V141" s="34"/>
    </row>
    <row r="142" spans="15:22" x14ac:dyDescent="0.25">
      <c r="O142" s="40"/>
      <c r="P142" s="168"/>
      <c r="Q142" s="151"/>
      <c r="R142" s="34"/>
      <c r="S142" s="34"/>
      <c r="T142" s="34"/>
      <c r="U142" s="34"/>
      <c r="V142" s="34"/>
    </row>
    <row r="143" spans="15:22" x14ac:dyDescent="0.25">
      <c r="O143" s="40"/>
      <c r="P143" s="168"/>
      <c r="Q143" s="151"/>
      <c r="R143" s="34"/>
      <c r="S143" s="34"/>
      <c r="T143" s="34"/>
      <c r="U143" s="34"/>
      <c r="V143" s="34"/>
    </row>
    <row r="144" spans="15:22" ht="15" customHeight="1" x14ac:dyDescent="0.25">
      <c r="O144" s="40"/>
      <c r="P144" s="168"/>
      <c r="Q144" s="151"/>
    </row>
    <row r="145" spans="15:17" x14ac:dyDescent="0.25">
      <c r="O145" s="40"/>
      <c r="P145" s="168"/>
      <c r="Q145" s="151"/>
    </row>
    <row r="146" spans="15:17" x14ac:dyDescent="0.25">
      <c r="O146" s="40"/>
      <c r="P146" s="168"/>
      <c r="Q146" s="151"/>
    </row>
    <row r="147" spans="15:17" x14ac:dyDescent="0.25">
      <c r="O147" s="40"/>
      <c r="P147" s="168"/>
      <c r="Q147" s="151"/>
    </row>
    <row r="148" spans="15:17" x14ac:dyDescent="0.25">
      <c r="O148" s="40"/>
      <c r="P148" s="168"/>
      <c r="Q148" s="151"/>
    </row>
    <row r="149" spans="15:17" x14ac:dyDescent="0.25">
      <c r="O149" s="40"/>
      <c r="P149" s="168"/>
      <c r="Q149" s="151"/>
    </row>
    <row r="150" spans="15:17" x14ac:dyDescent="0.25">
      <c r="O150" s="40"/>
      <c r="P150" s="173"/>
      <c r="Q150" s="175"/>
    </row>
    <row r="151" spans="15:17" x14ac:dyDescent="0.25">
      <c r="O151" s="40"/>
      <c r="P151" s="173"/>
      <c r="Q151" s="175"/>
    </row>
    <row r="152" spans="15:17" x14ac:dyDescent="0.25">
      <c r="O152" s="40"/>
      <c r="P152" s="173"/>
      <c r="Q152" s="175"/>
    </row>
    <row r="153" spans="15:17" x14ac:dyDescent="0.25">
      <c r="O153" s="40"/>
      <c r="P153" s="173"/>
      <c r="Q153" s="175"/>
    </row>
    <row r="154" spans="15:17" x14ac:dyDescent="0.25">
      <c r="O154" s="40"/>
      <c r="P154" s="173"/>
      <c r="Q154" s="175"/>
    </row>
    <row r="155" spans="15:17" x14ac:dyDescent="0.25">
      <c r="O155" s="40"/>
      <c r="P155" s="173"/>
      <c r="Q155" s="175"/>
    </row>
    <row r="156" spans="15:17" x14ac:dyDescent="0.25">
      <c r="O156" s="40"/>
      <c r="P156" s="173"/>
      <c r="Q156" s="175"/>
    </row>
    <row r="157" spans="15:17" x14ac:dyDescent="0.25">
      <c r="O157" s="40"/>
      <c r="P157" s="173"/>
      <c r="Q157" s="175"/>
    </row>
    <row r="158" spans="15:17" x14ac:dyDescent="0.25">
      <c r="O158" s="40"/>
      <c r="P158" s="173"/>
      <c r="Q158" s="175"/>
    </row>
    <row r="159" spans="15:17" x14ac:dyDescent="0.25">
      <c r="O159" s="40"/>
      <c r="P159" s="173"/>
      <c r="Q159" s="175"/>
    </row>
    <row r="160" spans="15:17" x14ac:dyDescent="0.25">
      <c r="O160" s="40"/>
      <c r="P160" s="173"/>
      <c r="Q160" s="175"/>
    </row>
    <row r="161" spans="15:17" x14ac:dyDescent="0.25">
      <c r="O161" s="40"/>
      <c r="P161" s="173"/>
      <c r="Q161" s="175"/>
    </row>
    <row r="162" spans="15:17" x14ac:dyDescent="0.25">
      <c r="O162" s="40"/>
      <c r="P162" s="173"/>
      <c r="Q162" s="175"/>
    </row>
    <row r="163" spans="15:17" x14ac:dyDescent="0.25">
      <c r="O163" s="40"/>
      <c r="P163" s="173"/>
      <c r="Q163" s="175"/>
    </row>
    <row r="164" spans="15:17" x14ac:dyDescent="0.25">
      <c r="O164" s="40"/>
      <c r="P164" s="173"/>
      <c r="Q164" s="175"/>
    </row>
    <row r="165" spans="15:17" x14ac:dyDescent="0.25">
      <c r="O165" s="40"/>
      <c r="P165" s="173"/>
      <c r="Q165" s="175"/>
    </row>
    <row r="166" spans="15:17" x14ac:dyDescent="0.25">
      <c r="O166" s="40"/>
      <c r="P166" s="173"/>
      <c r="Q166" s="175"/>
    </row>
    <row r="167" spans="15:17" x14ac:dyDescent="0.25">
      <c r="O167" s="40"/>
      <c r="P167" s="173"/>
      <c r="Q167" s="175"/>
    </row>
    <row r="168" spans="15:17" x14ac:dyDescent="0.25">
      <c r="O168" s="40"/>
      <c r="P168" s="173"/>
      <c r="Q168" s="175"/>
    </row>
    <row r="169" spans="15:17" x14ac:dyDescent="0.25">
      <c r="O169" s="40"/>
      <c r="P169" s="173"/>
      <c r="Q169" s="175"/>
    </row>
    <row r="170" spans="15:17" x14ac:dyDescent="0.25">
      <c r="O170" s="40"/>
      <c r="P170" s="173"/>
      <c r="Q170" s="175"/>
    </row>
    <row r="171" spans="15:17" x14ac:dyDescent="0.25">
      <c r="O171" s="40"/>
      <c r="P171" s="173"/>
      <c r="Q171" s="175"/>
    </row>
    <row r="172" spans="15:17" x14ac:dyDescent="0.25">
      <c r="O172" s="40"/>
      <c r="P172" s="173"/>
      <c r="Q172" s="175"/>
    </row>
    <row r="173" spans="15:17" x14ac:dyDescent="0.25">
      <c r="O173" s="40"/>
      <c r="P173" s="173"/>
      <c r="Q173" s="175"/>
    </row>
    <row r="174" spans="15:17" x14ac:dyDescent="0.25">
      <c r="O174" s="40"/>
      <c r="P174" s="173"/>
      <c r="Q174" s="175"/>
    </row>
    <row r="175" spans="15:17" x14ac:dyDescent="0.25">
      <c r="O175" s="40"/>
      <c r="P175" s="173"/>
      <c r="Q175" s="175"/>
    </row>
    <row r="176" spans="15:17" x14ac:dyDescent="0.25">
      <c r="O176" s="40"/>
      <c r="P176" s="173"/>
      <c r="Q176" s="175"/>
    </row>
    <row r="177" spans="15:17" x14ac:dyDescent="0.25">
      <c r="O177" s="40"/>
      <c r="P177" s="173"/>
      <c r="Q177" s="175"/>
    </row>
    <row r="178" spans="15:17" x14ac:dyDescent="0.25">
      <c r="O178" s="40"/>
      <c r="P178" s="173"/>
      <c r="Q178" s="175"/>
    </row>
    <row r="179" spans="15:17" x14ac:dyDescent="0.25">
      <c r="O179" s="40"/>
      <c r="P179" s="173"/>
      <c r="Q179" s="175"/>
    </row>
    <row r="180" spans="15:17" x14ac:dyDescent="0.25">
      <c r="O180" s="40"/>
      <c r="P180" s="173"/>
      <c r="Q180" s="175"/>
    </row>
    <row r="181" spans="15:17" x14ac:dyDescent="0.25">
      <c r="O181" s="40"/>
      <c r="P181" s="173"/>
      <c r="Q181" s="175"/>
    </row>
    <row r="182" spans="15:17" x14ac:dyDescent="0.25">
      <c r="O182" s="40"/>
      <c r="P182" s="173"/>
      <c r="Q182" s="175"/>
    </row>
    <row r="183" spans="15:17" x14ac:dyDescent="0.25">
      <c r="O183" s="40"/>
      <c r="P183" s="173"/>
      <c r="Q183" s="175"/>
    </row>
    <row r="184" spans="15:17" x14ac:dyDescent="0.25">
      <c r="O184" s="40"/>
      <c r="P184" s="173"/>
      <c r="Q184" s="175"/>
    </row>
    <row r="185" spans="15:17" x14ac:dyDescent="0.25">
      <c r="O185" s="40"/>
      <c r="P185" s="173"/>
      <c r="Q185" s="175"/>
    </row>
    <row r="186" spans="15:17" x14ac:dyDescent="0.25">
      <c r="O186" s="40"/>
      <c r="P186" s="173"/>
      <c r="Q186" s="175"/>
    </row>
    <row r="187" spans="15:17" x14ac:dyDescent="0.25">
      <c r="O187" s="40"/>
      <c r="P187" s="173"/>
      <c r="Q187" s="175"/>
    </row>
    <row r="188" spans="15:17" x14ac:dyDescent="0.25">
      <c r="O188" s="40"/>
      <c r="P188" s="173"/>
      <c r="Q188" s="175"/>
    </row>
    <row r="189" spans="15:17" x14ac:dyDescent="0.25">
      <c r="O189" s="40"/>
      <c r="P189" s="173"/>
      <c r="Q189" s="175"/>
    </row>
    <row r="190" spans="15:17" x14ac:dyDescent="0.25">
      <c r="O190" s="40"/>
      <c r="P190" s="173"/>
      <c r="Q190" s="175"/>
    </row>
    <row r="191" spans="15:17" x14ac:dyDescent="0.25">
      <c r="O191" s="40"/>
      <c r="P191" s="173"/>
      <c r="Q191" s="175"/>
    </row>
    <row r="192" spans="15:17" x14ac:dyDescent="0.25">
      <c r="O192" s="40"/>
      <c r="P192" s="173"/>
      <c r="Q192" s="175"/>
    </row>
    <row r="193" spans="15:17" x14ac:dyDescent="0.25">
      <c r="O193" s="40"/>
      <c r="P193" s="173"/>
      <c r="Q193" s="175"/>
    </row>
    <row r="194" spans="15:17" x14ac:dyDescent="0.25">
      <c r="O194" s="40"/>
      <c r="P194" s="173"/>
      <c r="Q194" s="175"/>
    </row>
    <row r="195" spans="15:17" x14ac:dyDescent="0.25">
      <c r="O195" s="40"/>
      <c r="P195" s="173"/>
      <c r="Q195" s="175"/>
    </row>
    <row r="196" spans="15:17" x14ac:dyDescent="0.25">
      <c r="O196" s="40"/>
      <c r="P196" s="173"/>
      <c r="Q196" s="175"/>
    </row>
    <row r="197" spans="15:17" x14ac:dyDescent="0.25">
      <c r="O197" s="40"/>
      <c r="P197" s="173"/>
      <c r="Q197" s="175"/>
    </row>
    <row r="198" spans="15:17" x14ac:dyDescent="0.25">
      <c r="O198" s="40"/>
      <c r="P198" s="173"/>
      <c r="Q198" s="175"/>
    </row>
    <row r="199" spans="15:17" x14ac:dyDescent="0.25">
      <c r="O199" s="40"/>
      <c r="P199" s="173"/>
      <c r="Q199" s="175"/>
    </row>
    <row r="200" spans="15:17" x14ac:dyDescent="0.25">
      <c r="O200" s="40"/>
      <c r="P200" s="173"/>
      <c r="Q200" s="175"/>
    </row>
    <row r="201" spans="15:17" x14ac:dyDescent="0.25">
      <c r="O201" s="40"/>
      <c r="P201" s="173"/>
      <c r="Q201" s="175"/>
    </row>
    <row r="202" spans="15:17" x14ac:dyDescent="0.25">
      <c r="O202" s="40"/>
      <c r="P202" s="173"/>
      <c r="Q202" s="175"/>
    </row>
    <row r="203" spans="15:17" x14ac:dyDescent="0.25">
      <c r="O203" s="40"/>
      <c r="P203" s="173"/>
      <c r="Q203" s="175"/>
    </row>
    <row r="204" spans="15:17" x14ac:dyDescent="0.25">
      <c r="O204" s="40"/>
      <c r="P204" s="173"/>
      <c r="Q204" s="175"/>
    </row>
    <row r="205" spans="15:17" x14ac:dyDescent="0.25">
      <c r="O205" s="40"/>
      <c r="P205" s="173"/>
      <c r="Q205" s="175"/>
    </row>
    <row r="206" spans="15:17" x14ac:dyDescent="0.25">
      <c r="O206" s="40"/>
      <c r="P206" s="173"/>
      <c r="Q206" s="175"/>
    </row>
    <row r="207" spans="15:17" x14ac:dyDescent="0.25">
      <c r="O207" s="40"/>
      <c r="P207" s="173"/>
      <c r="Q207" s="175"/>
    </row>
    <row r="208" spans="15:17" x14ac:dyDescent="0.25">
      <c r="O208" s="40"/>
      <c r="P208" s="173"/>
      <c r="Q208" s="175"/>
    </row>
    <row r="209" spans="15:17" x14ac:dyDescent="0.25">
      <c r="O209" s="40"/>
      <c r="P209" s="173"/>
      <c r="Q209" s="175"/>
    </row>
    <row r="210" spans="15:17" x14ac:dyDescent="0.25">
      <c r="O210" s="40"/>
      <c r="P210" s="173"/>
      <c r="Q210" s="175"/>
    </row>
    <row r="211" spans="15:17" x14ac:dyDescent="0.25">
      <c r="O211" s="40"/>
      <c r="P211" s="173"/>
      <c r="Q211" s="175"/>
    </row>
    <row r="212" spans="15:17" ht="15" customHeight="1" x14ac:dyDescent="0.25">
      <c r="O212" s="40"/>
      <c r="P212" s="173"/>
      <c r="Q212" s="175"/>
    </row>
    <row r="213" spans="15:17" x14ac:dyDescent="0.25">
      <c r="O213" s="40"/>
      <c r="P213" s="173"/>
      <c r="Q213" s="175"/>
    </row>
    <row r="214" spans="15:17" x14ac:dyDescent="0.25">
      <c r="O214" s="40"/>
      <c r="P214" s="173"/>
      <c r="Q214" s="175"/>
    </row>
    <row r="215" spans="15:17" x14ac:dyDescent="0.25">
      <c r="O215" s="40"/>
      <c r="P215" s="173"/>
      <c r="Q215" s="175"/>
    </row>
    <row r="216" spans="15:17" x14ac:dyDescent="0.25">
      <c r="O216" s="40"/>
      <c r="P216" s="173"/>
      <c r="Q216" s="175"/>
    </row>
    <row r="217" spans="15:17" x14ac:dyDescent="0.25">
      <c r="O217" s="40"/>
      <c r="P217" s="173"/>
      <c r="Q217" s="175"/>
    </row>
    <row r="218" spans="15:17" x14ac:dyDescent="0.25">
      <c r="O218" s="40"/>
      <c r="P218" s="173"/>
      <c r="Q218" s="175"/>
    </row>
    <row r="219" spans="15:17" x14ac:dyDescent="0.25">
      <c r="O219" s="40"/>
      <c r="P219" s="173"/>
      <c r="Q219" s="175"/>
    </row>
    <row r="220" spans="15:17" x14ac:dyDescent="0.25">
      <c r="O220" s="40"/>
      <c r="P220" s="173"/>
      <c r="Q220" s="175"/>
    </row>
    <row r="221" spans="15:17" x14ac:dyDescent="0.25">
      <c r="O221" s="40"/>
      <c r="P221" s="173"/>
      <c r="Q221" s="175"/>
    </row>
    <row r="222" spans="15:17" x14ac:dyDescent="0.25">
      <c r="O222" s="40"/>
      <c r="P222" s="173"/>
      <c r="Q222" s="175"/>
    </row>
    <row r="223" spans="15:17" x14ac:dyDescent="0.25">
      <c r="O223" s="40"/>
      <c r="P223" s="173"/>
      <c r="Q223" s="175"/>
    </row>
    <row r="224" spans="15:17" x14ac:dyDescent="0.25">
      <c r="O224" s="40"/>
      <c r="P224" s="173"/>
      <c r="Q224" s="175"/>
    </row>
    <row r="225" spans="15:17" x14ac:dyDescent="0.25">
      <c r="O225" s="40"/>
      <c r="P225" s="173"/>
      <c r="Q225" s="175"/>
    </row>
    <row r="226" spans="15:17" x14ac:dyDescent="0.25">
      <c r="O226" s="40"/>
      <c r="P226" s="173"/>
      <c r="Q226" s="175"/>
    </row>
    <row r="227" spans="15:17" x14ac:dyDescent="0.25">
      <c r="O227" s="40"/>
      <c r="P227" s="173"/>
      <c r="Q227" s="175"/>
    </row>
    <row r="228" spans="15:17" x14ac:dyDescent="0.25">
      <c r="O228" s="40"/>
      <c r="P228" s="173"/>
      <c r="Q228" s="175"/>
    </row>
    <row r="229" spans="15:17" x14ac:dyDescent="0.25">
      <c r="O229" s="40"/>
      <c r="P229" s="173"/>
      <c r="Q229" s="175"/>
    </row>
    <row r="230" spans="15:17" x14ac:dyDescent="0.25">
      <c r="O230" s="40"/>
      <c r="P230" s="173"/>
      <c r="Q230" s="175"/>
    </row>
    <row r="231" spans="15:17" x14ac:dyDescent="0.25">
      <c r="O231" s="40"/>
      <c r="P231" s="173"/>
      <c r="Q231" s="175"/>
    </row>
    <row r="232" spans="15:17" x14ac:dyDescent="0.25">
      <c r="O232" s="40"/>
      <c r="P232" s="173"/>
      <c r="Q232" s="175"/>
    </row>
    <row r="233" spans="15:17" x14ac:dyDescent="0.25">
      <c r="O233" s="40"/>
      <c r="P233" s="173"/>
      <c r="Q233" s="175"/>
    </row>
    <row r="234" spans="15:17" x14ac:dyDescent="0.25">
      <c r="O234" s="40"/>
      <c r="P234" s="173"/>
      <c r="Q234" s="175"/>
    </row>
    <row r="235" spans="15:17" x14ac:dyDescent="0.25">
      <c r="O235" s="40"/>
      <c r="P235" s="173"/>
      <c r="Q235" s="175"/>
    </row>
    <row r="236" spans="15:17" x14ac:dyDescent="0.25">
      <c r="O236" s="40"/>
      <c r="P236" s="173"/>
      <c r="Q236" s="175"/>
    </row>
    <row r="237" spans="15:17" x14ac:dyDescent="0.25">
      <c r="O237" s="40"/>
      <c r="P237" s="173"/>
      <c r="Q237" s="175"/>
    </row>
    <row r="238" spans="15:17" x14ac:dyDescent="0.25">
      <c r="O238" s="40"/>
      <c r="P238" s="173"/>
      <c r="Q238" s="175"/>
    </row>
    <row r="239" spans="15:17" x14ac:dyDescent="0.25">
      <c r="O239" s="40"/>
      <c r="P239" s="173"/>
      <c r="Q239" s="175"/>
    </row>
    <row r="240" spans="15:17" x14ac:dyDescent="0.25">
      <c r="O240" s="40"/>
      <c r="P240" s="173"/>
      <c r="Q240" s="175"/>
    </row>
    <row r="241" spans="15:17" x14ac:dyDescent="0.25">
      <c r="O241" s="40"/>
      <c r="P241" s="173"/>
      <c r="Q241" s="175"/>
    </row>
    <row r="242" spans="15:17" x14ac:dyDescent="0.25">
      <c r="O242" s="40"/>
      <c r="P242" s="173"/>
      <c r="Q242" s="175"/>
    </row>
    <row r="243" spans="15:17" x14ac:dyDescent="0.25">
      <c r="O243" s="40"/>
      <c r="P243" s="173"/>
      <c r="Q243" s="175"/>
    </row>
    <row r="244" spans="15:17" x14ac:dyDescent="0.25">
      <c r="O244" s="40"/>
      <c r="P244" s="173"/>
      <c r="Q244" s="175"/>
    </row>
    <row r="245" spans="15:17" x14ac:dyDescent="0.25">
      <c r="O245" s="40"/>
      <c r="P245" s="173"/>
      <c r="Q245" s="175"/>
    </row>
    <row r="246" spans="15:17" x14ac:dyDescent="0.25">
      <c r="O246" s="40"/>
      <c r="P246" s="173"/>
      <c r="Q246" s="175"/>
    </row>
    <row r="247" spans="15:17" x14ac:dyDescent="0.25">
      <c r="O247" s="40"/>
      <c r="P247" s="173"/>
      <c r="Q247" s="175"/>
    </row>
    <row r="248" spans="15:17" x14ac:dyDescent="0.25">
      <c r="O248" s="40"/>
      <c r="P248" s="173"/>
      <c r="Q248" s="175"/>
    </row>
    <row r="249" spans="15:17" x14ac:dyDescent="0.25">
      <c r="O249" s="40"/>
      <c r="P249" s="173"/>
      <c r="Q249" s="175"/>
    </row>
    <row r="250" spans="15:17" x14ac:dyDescent="0.25">
      <c r="O250" s="40"/>
      <c r="P250" s="173"/>
      <c r="Q250" s="175"/>
    </row>
    <row r="251" spans="15:17" x14ac:dyDescent="0.25">
      <c r="O251" s="40"/>
      <c r="P251" s="173"/>
      <c r="Q251" s="175"/>
    </row>
    <row r="252" spans="15:17" x14ac:dyDescent="0.25">
      <c r="O252" s="40"/>
      <c r="P252" s="173"/>
      <c r="Q252" s="175"/>
    </row>
    <row r="253" spans="15:17" x14ac:dyDescent="0.25">
      <c r="O253" s="40"/>
      <c r="P253" s="173"/>
      <c r="Q253" s="175"/>
    </row>
    <row r="254" spans="15:17" x14ac:dyDescent="0.25">
      <c r="O254" s="40"/>
      <c r="P254" s="173"/>
      <c r="Q254" s="175"/>
    </row>
    <row r="255" spans="15:17" x14ac:dyDescent="0.25">
      <c r="O255" s="40"/>
      <c r="P255" s="173"/>
      <c r="Q255" s="175"/>
    </row>
    <row r="256" spans="15:17" x14ac:dyDescent="0.25">
      <c r="O256" s="40"/>
      <c r="P256" s="173"/>
      <c r="Q256" s="175"/>
    </row>
    <row r="257" spans="15:17" x14ac:dyDescent="0.25">
      <c r="O257" s="40"/>
      <c r="P257" s="173"/>
      <c r="Q257" s="175"/>
    </row>
    <row r="258" spans="15:17" x14ac:dyDescent="0.25">
      <c r="O258" s="40"/>
      <c r="P258" s="173"/>
      <c r="Q258" s="175"/>
    </row>
    <row r="259" spans="15:17" x14ac:dyDescent="0.25">
      <c r="O259" s="40"/>
      <c r="P259" s="173"/>
      <c r="Q259" s="175"/>
    </row>
    <row r="260" spans="15:17" x14ac:dyDescent="0.25">
      <c r="O260" s="40"/>
      <c r="P260" s="173"/>
      <c r="Q260" s="175"/>
    </row>
    <row r="261" spans="15:17" x14ac:dyDescent="0.25">
      <c r="O261" s="40"/>
      <c r="P261" s="173"/>
      <c r="Q261" s="175"/>
    </row>
    <row r="262" spans="15:17" x14ac:dyDescent="0.25">
      <c r="O262" s="40"/>
      <c r="P262" s="173"/>
      <c r="Q262" s="175"/>
    </row>
    <row r="263" spans="15:17" x14ac:dyDescent="0.25">
      <c r="O263" s="40"/>
      <c r="P263" s="173"/>
      <c r="Q263" s="175"/>
    </row>
    <row r="264" spans="15:17" x14ac:dyDescent="0.25">
      <c r="O264" s="40"/>
      <c r="P264" s="173"/>
      <c r="Q264" s="175"/>
    </row>
    <row r="265" spans="15:17" x14ac:dyDescent="0.25">
      <c r="O265" s="40"/>
      <c r="P265" s="173"/>
      <c r="Q265" s="175"/>
    </row>
    <row r="266" spans="15:17" x14ac:dyDescent="0.25">
      <c r="O266" s="40"/>
      <c r="P266" s="173"/>
      <c r="Q266" s="175"/>
    </row>
    <row r="267" spans="15:17" x14ac:dyDescent="0.25">
      <c r="O267" s="40"/>
      <c r="P267" s="173"/>
      <c r="Q267" s="175"/>
    </row>
    <row r="268" spans="15:17" x14ac:dyDescent="0.25">
      <c r="O268" s="40"/>
      <c r="P268" s="173"/>
      <c r="Q268" s="175"/>
    </row>
    <row r="269" spans="15:17" x14ac:dyDescent="0.25">
      <c r="O269" s="40"/>
      <c r="P269" s="173"/>
      <c r="Q269" s="175"/>
    </row>
    <row r="270" spans="15:17" x14ac:dyDescent="0.25">
      <c r="O270" s="40"/>
      <c r="P270" s="173"/>
      <c r="Q270" s="175"/>
    </row>
    <row r="271" spans="15:17" x14ac:dyDescent="0.25">
      <c r="O271" s="40"/>
      <c r="P271" s="173"/>
      <c r="Q271" s="175"/>
    </row>
    <row r="272" spans="15:17" x14ac:dyDescent="0.25">
      <c r="O272" s="40"/>
      <c r="P272" s="173"/>
      <c r="Q272" s="175"/>
    </row>
    <row r="273" spans="15:17" x14ac:dyDescent="0.25">
      <c r="O273" s="40"/>
      <c r="P273" s="173"/>
      <c r="Q273" s="175"/>
    </row>
    <row r="274" spans="15:17" x14ac:dyDescent="0.25">
      <c r="O274" s="40"/>
      <c r="P274" s="173"/>
      <c r="Q274" s="175"/>
    </row>
    <row r="275" spans="15:17" x14ac:dyDescent="0.25">
      <c r="O275" s="40"/>
      <c r="P275" s="173"/>
      <c r="Q275" s="175"/>
    </row>
    <row r="276" spans="15:17" x14ac:dyDescent="0.25">
      <c r="O276" s="40"/>
      <c r="P276" s="173"/>
      <c r="Q276" s="175"/>
    </row>
    <row r="277" spans="15:17" x14ac:dyDescent="0.25">
      <c r="O277" s="40"/>
      <c r="P277" s="173"/>
      <c r="Q277" s="175"/>
    </row>
    <row r="278" spans="15:17" x14ac:dyDescent="0.25">
      <c r="O278" s="40"/>
      <c r="P278" s="173"/>
      <c r="Q278" s="175"/>
    </row>
    <row r="279" spans="15:17" x14ac:dyDescent="0.25">
      <c r="O279" s="40"/>
      <c r="P279" s="173"/>
      <c r="Q279" s="175"/>
    </row>
    <row r="280" spans="15:17" x14ac:dyDescent="0.25">
      <c r="O280" s="40"/>
      <c r="P280" s="173"/>
      <c r="Q280" s="175"/>
    </row>
    <row r="281" spans="15:17" x14ac:dyDescent="0.25">
      <c r="O281" s="40"/>
      <c r="P281" s="173"/>
      <c r="Q281" s="175"/>
    </row>
    <row r="282" spans="15:17" x14ac:dyDescent="0.25">
      <c r="O282" s="40"/>
      <c r="P282" s="173"/>
      <c r="Q282" s="175"/>
    </row>
    <row r="283" spans="15:17" x14ac:dyDescent="0.25">
      <c r="O283" s="40"/>
      <c r="P283" s="173"/>
      <c r="Q283" s="175"/>
    </row>
    <row r="284" spans="15:17" x14ac:dyDescent="0.25">
      <c r="O284" s="40"/>
      <c r="P284" s="173"/>
      <c r="Q284" s="175"/>
    </row>
    <row r="285" spans="15:17" x14ac:dyDescent="0.25">
      <c r="O285" s="40"/>
      <c r="P285" s="173"/>
      <c r="Q285" s="175"/>
    </row>
    <row r="286" spans="15:17" x14ac:dyDescent="0.25">
      <c r="O286" s="40"/>
      <c r="P286" s="173"/>
      <c r="Q286" s="175"/>
    </row>
    <row r="287" spans="15:17" x14ac:dyDescent="0.25">
      <c r="O287" s="40"/>
      <c r="P287" s="173"/>
      <c r="Q287" s="175"/>
    </row>
    <row r="288" spans="15:17" x14ac:dyDescent="0.25">
      <c r="O288" s="40"/>
      <c r="P288" s="173"/>
      <c r="Q288" s="175"/>
    </row>
    <row r="289" spans="15:17" x14ac:dyDescent="0.25">
      <c r="O289" s="40"/>
      <c r="P289" s="173"/>
      <c r="Q289" s="175"/>
    </row>
    <row r="290" spans="15:17" x14ac:dyDescent="0.25">
      <c r="O290" s="40"/>
      <c r="P290" s="173"/>
      <c r="Q290" s="175"/>
    </row>
    <row r="291" spans="15:17" x14ac:dyDescent="0.25">
      <c r="O291" s="40"/>
      <c r="P291" s="173"/>
      <c r="Q291" s="175"/>
    </row>
    <row r="292" spans="15:17" x14ac:dyDescent="0.25">
      <c r="O292" s="40"/>
      <c r="P292" s="173"/>
      <c r="Q292" s="175"/>
    </row>
    <row r="293" spans="15:17" x14ac:dyDescent="0.25">
      <c r="O293" s="40"/>
      <c r="P293" s="173"/>
      <c r="Q293" s="175"/>
    </row>
  </sheetData>
  <mergeCells count="16">
    <mergeCell ref="Q150:Q221"/>
    <mergeCell ref="P186:P221"/>
    <mergeCell ref="P222:P257"/>
    <mergeCell ref="Q222:Q293"/>
    <mergeCell ref="P258:P293"/>
    <mergeCell ref="P150:P185"/>
    <mergeCell ref="P2:P13"/>
    <mergeCell ref="P14:P25"/>
    <mergeCell ref="Q2:Q25"/>
    <mergeCell ref="P26:P29"/>
    <mergeCell ref="P32:P43"/>
    <mergeCell ref="P44:P55"/>
    <mergeCell ref="Q32:Q55"/>
    <mergeCell ref="P56:P67"/>
    <mergeCell ref="Q56:Q79"/>
    <mergeCell ref="P68:P7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AF129"/>
  <sheetViews>
    <sheetView workbookViewId="0">
      <selection activeCell="G36" sqref="G36"/>
    </sheetView>
  </sheetViews>
  <sheetFormatPr defaultRowHeight="15" x14ac:dyDescent="0.25"/>
  <cols>
    <col min="1" max="1" width="11.7109375" customWidth="1"/>
    <col min="2" max="2" width="22.28515625" style="13" customWidth="1"/>
    <col min="3" max="3" width="21.85546875" customWidth="1"/>
    <col min="4" max="5" width="10.7109375" customWidth="1"/>
    <col min="6" max="6" width="12.140625" bestFit="1" customWidth="1"/>
    <col min="7" max="8" width="19.7109375" bestFit="1" customWidth="1"/>
    <col min="9" max="9" width="12.7109375" customWidth="1"/>
    <col min="10" max="10" width="16.42578125" bestFit="1" customWidth="1"/>
    <col min="11" max="11" width="10.7109375" customWidth="1"/>
    <col min="12" max="13" width="11.28515625" bestFit="1" customWidth="1"/>
    <col min="14" max="14" width="12.140625" bestFit="1" customWidth="1"/>
    <col min="15" max="16" width="16.28515625" bestFit="1" customWidth="1"/>
    <col min="17" max="17" width="21.42578125" bestFit="1" customWidth="1"/>
    <col min="18" max="19" width="19.7109375" bestFit="1" customWidth="1"/>
    <col min="20" max="20" width="12.140625" bestFit="1" customWidth="1"/>
    <col min="21" max="21" width="11.85546875" bestFit="1" customWidth="1"/>
  </cols>
  <sheetData>
    <row r="1" spans="1:23" ht="26.25" x14ac:dyDescent="0.4">
      <c r="A1" s="15" t="s">
        <v>181</v>
      </c>
      <c r="B1" s="16"/>
      <c r="C1" s="17"/>
      <c r="D1" s="18"/>
      <c r="E1" s="18"/>
      <c r="F1" s="18"/>
      <c r="G1" s="18"/>
      <c r="H1" s="18"/>
      <c r="I1" s="18"/>
      <c r="J1" s="18"/>
      <c r="K1" s="18"/>
      <c r="L1" s="18"/>
    </row>
    <row r="2" spans="1:23" s="40" customFormat="1" ht="16.5" customHeight="1" x14ac:dyDescent="0.25">
      <c r="A2" s="15"/>
      <c r="L2" s="166"/>
      <c r="M2" s="166"/>
    </row>
    <row r="3" spans="1:23" s="40" customFormat="1" ht="16.5" customHeight="1" x14ac:dyDescent="0.25"/>
    <row r="4" spans="1:23" x14ac:dyDescent="0.25">
      <c r="A4" s="4"/>
      <c r="B4" s="40"/>
      <c r="C4" s="27" t="s">
        <v>43</v>
      </c>
      <c r="D4" s="19"/>
      <c r="E4" s="19"/>
      <c r="F4" s="19"/>
      <c r="G4" s="4"/>
      <c r="H4" s="4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3" x14ac:dyDescent="0.25">
      <c r="A5" s="4"/>
      <c r="B5" s="40"/>
      <c r="C5" s="16" t="s">
        <v>44</v>
      </c>
      <c r="D5" s="4" t="s">
        <v>172</v>
      </c>
      <c r="E5" s="4" t="s">
        <v>173</v>
      </c>
      <c r="F5" s="4" t="s">
        <v>0</v>
      </c>
      <c r="G5" s="4" t="s">
        <v>1</v>
      </c>
      <c r="H5" s="4"/>
      <c r="J5" s="40"/>
      <c r="K5" s="40"/>
      <c r="L5" s="40"/>
      <c r="M5" s="40"/>
      <c r="N5" s="40"/>
      <c r="O5" s="40"/>
      <c r="P5" s="40"/>
      <c r="Q5" s="40"/>
      <c r="R5" s="40"/>
      <c r="S5" s="40"/>
      <c r="V5" s="3"/>
    </row>
    <row r="6" spans="1:23" x14ac:dyDescent="0.25">
      <c r="A6" s="4"/>
      <c r="B6" s="40"/>
      <c r="C6" s="19" t="s">
        <v>45</v>
      </c>
      <c r="D6" s="40">
        <v>11105.46</v>
      </c>
      <c r="E6" s="40">
        <v>11198.14</v>
      </c>
      <c r="F6" s="20">
        <f>AVERAGE(D6:E6)</f>
        <v>11151.8</v>
      </c>
      <c r="G6" s="20">
        <f>F6*1</f>
        <v>11151.8</v>
      </c>
      <c r="H6" s="40"/>
      <c r="V6" s="3"/>
    </row>
    <row r="7" spans="1:23" ht="15.75" thickBot="1" x14ac:dyDescent="0.3">
      <c r="A7" s="4"/>
      <c r="B7" s="43"/>
      <c r="C7" s="37" t="s">
        <v>46</v>
      </c>
      <c r="D7" s="40">
        <v>16540.47</v>
      </c>
      <c r="E7" s="40">
        <v>16484.48</v>
      </c>
      <c r="F7" s="74">
        <f>AVERAGE(D7:E7)</f>
        <v>16512.474999999999</v>
      </c>
      <c r="G7" s="74">
        <f>F7*1</f>
        <v>16512.474999999999</v>
      </c>
      <c r="H7" s="40"/>
      <c r="I7" s="116" t="s">
        <v>79</v>
      </c>
      <c r="J7" s="43"/>
      <c r="K7" s="39" t="s">
        <v>141</v>
      </c>
      <c r="L7" s="39" t="s">
        <v>144</v>
      </c>
      <c r="M7" s="39" t="s">
        <v>145</v>
      </c>
      <c r="N7" s="39" t="s">
        <v>146</v>
      </c>
      <c r="O7" s="39" t="s">
        <v>142</v>
      </c>
      <c r="P7" s="39" t="s">
        <v>147</v>
      </c>
      <c r="Q7" s="39" t="s">
        <v>143</v>
      </c>
      <c r="R7" s="39" t="s">
        <v>70</v>
      </c>
      <c r="S7" s="39" t="s">
        <v>71</v>
      </c>
      <c r="T7" s="39" t="s">
        <v>24</v>
      </c>
      <c r="U7" s="39" t="s">
        <v>25</v>
      </c>
      <c r="V7" s="3"/>
    </row>
    <row r="8" spans="1:23" x14ac:dyDescent="0.25">
      <c r="A8" s="4"/>
      <c r="B8" s="176" t="s">
        <v>35</v>
      </c>
      <c r="C8" s="161" t="s">
        <v>203</v>
      </c>
      <c r="D8" s="40">
        <v>7026.73</v>
      </c>
      <c r="E8" s="40">
        <v>7233.76</v>
      </c>
      <c r="F8" s="72">
        <f>AVERAGE(D8:E8)</f>
        <v>7130.2449999999999</v>
      </c>
      <c r="G8" s="73">
        <f>F8*5</f>
        <v>35651.224999999999</v>
      </c>
      <c r="H8" s="40"/>
      <c r="I8" s="159" t="s">
        <v>35</v>
      </c>
      <c r="J8" s="139" t="s">
        <v>203</v>
      </c>
      <c r="K8" s="76">
        <f>G8</f>
        <v>35651.224999999999</v>
      </c>
      <c r="L8" s="170">
        <v>3638.5</v>
      </c>
      <c r="M8" s="170">
        <v>3846.57</v>
      </c>
      <c r="N8" s="77">
        <f t="shared" ref="N8:N19" si="0">AVERAGE(L8:M8)</f>
        <v>3742.5349999999999</v>
      </c>
      <c r="O8" s="78">
        <f t="shared" ref="O8" si="1">L8/K8</f>
        <v>0.10205820417110492</v>
      </c>
      <c r="P8" s="78">
        <f t="shared" ref="P8" si="2">M8/K8</f>
        <v>0.10789446926438012</v>
      </c>
      <c r="Q8" s="117">
        <f t="shared" ref="Q8:Q19" si="3">AVERAGE(O8:P8)</f>
        <v>0.10497633671774252</v>
      </c>
      <c r="R8" s="120">
        <f>O8/$Q$11</f>
        <v>0.83547399169725778</v>
      </c>
      <c r="S8" s="120">
        <f>P8/$Q$11</f>
        <v>0.88325111783507515</v>
      </c>
      <c r="T8" s="121">
        <f t="shared" ref="T8:T19" si="4">AVERAGE(R8:S8)</f>
        <v>0.85936255476616652</v>
      </c>
      <c r="U8" s="126">
        <f t="shared" ref="U8:U19" si="5">STDEV(R8:S8)</f>
        <v>3.3783529877655712E-2</v>
      </c>
      <c r="V8" s="164"/>
      <c r="W8" s="2"/>
    </row>
    <row r="9" spans="1:23" x14ac:dyDescent="0.25">
      <c r="A9" s="4"/>
      <c r="B9" s="176"/>
      <c r="C9" s="37" t="s">
        <v>204</v>
      </c>
      <c r="D9" s="40">
        <v>6514</v>
      </c>
      <c r="E9" s="40">
        <v>6684.74</v>
      </c>
      <c r="F9" s="74">
        <f t="shared" ref="F9:F10" si="6">AVERAGE(D9:E9)</f>
        <v>6599.37</v>
      </c>
      <c r="G9" s="75">
        <f t="shared" ref="G9:G11" si="7">F9*5</f>
        <v>32996.85</v>
      </c>
      <c r="H9" s="40"/>
      <c r="I9" s="160"/>
      <c r="J9" s="140" t="s">
        <v>204</v>
      </c>
      <c r="K9" s="156">
        <f t="shared" ref="K9:K19" si="8">G9</f>
        <v>32996.85</v>
      </c>
      <c r="L9" s="34">
        <v>3616.72</v>
      </c>
      <c r="M9" s="34">
        <v>3649.13</v>
      </c>
      <c r="N9" s="42">
        <f t="shared" si="0"/>
        <v>3632.9250000000002</v>
      </c>
      <c r="O9" s="44">
        <f t="shared" ref="O9:O19" si="9">L9/K9</f>
        <v>0.10960803834305395</v>
      </c>
      <c r="P9" s="44">
        <f t="shared" ref="P9:P19" si="10">M9/K9</f>
        <v>0.11059025331205859</v>
      </c>
      <c r="Q9" s="118">
        <f t="shared" si="3"/>
        <v>0.11009914582755627</v>
      </c>
      <c r="R9" s="122">
        <f t="shared" ref="R9:R11" si="11">O9/$Q$11</f>
        <v>0.89727882300425887</v>
      </c>
      <c r="S9" s="122">
        <f t="shared" ref="S9:S11" si="12">P9/$Q$11</f>
        <v>0.9053194804655964</v>
      </c>
      <c r="T9" s="123">
        <f t="shared" si="4"/>
        <v>0.90129915173492758</v>
      </c>
      <c r="U9" s="127">
        <f t="shared" si="5"/>
        <v>5.6856034161099781E-3</v>
      </c>
      <c r="V9" s="34"/>
    </row>
    <row r="10" spans="1:23" x14ac:dyDescent="0.25">
      <c r="A10" s="4"/>
      <c r="B10" s="176"/>
      <c r="C10" s="37" t="s">
        <v>205</v>
      </c>
      <c r="D10" s="40">
        <v>6068.39</v>
      </c>
      <c r="E10" s="40">
        <v>6137.17</v>
      </c>
      <c r="F10" s="74">
        <f t="shared" si="6"/>
        <v>6102.7800000000007</v>
      </c>
      <c r="G10" s="75">
        <f t="shared" si="7"/>
        <v>30513.9</v>
      </c>
      <c r="H10" s="40"/>
      <c r="I10" s="160"/>
      <c r="J10" s="140" t="s">
        <v>205</v>
      </c>
      <c r="K10" s="156">
        <f t="shared" si="8"/>
        <v>30513.9</v>
      </c>
      <c r="L10" s="34">
        <v>3512.6</v>
      </c>
      <c r="M10" s="34">
        <v>3751.65</v>
      </c>
      <c r="N10" s="42">
        <f t="shared" si="0"/>
        <v>3632.125</v>
      </c>
      <c r="O10" s="44">
        <f t="shared" si="9"/>
        <v>0.11511475098233918</v>
      </c>
      <c r="P10" s="44">
        <f t="shared" si="10"/>
        <v>0.12294888558984593</v>
      </c>
      <c r="Q10" s="118">
        <f t="shared" si="3"/>
        <v>0.11903181828609255</v>
      </c>
      <c r="R10" s="122">
        <f t="shared" si="11"/>
        <v>0.94235815030811854</v>
      </c>
      <c r="S10" s="122">
        <f t="shared" si="12"/>
        <v>1.0064903361052933</v>
      </c>
      <c r="T10" s="123">
        <f t="shared" si="4"/>
        <v>0.97442424320670584</v>
      </c>
      <c r="U10" s="127">
        <f t="shared" si="5"/>
        <v>4.5348303469497843E-2</v>
      </c>
      <c r="V10" s="34"/>
    </row>
    <row r="11" spans="1:23" x14ac:dyDescent="0.25">
      <c r="A11" s="4"/>
      <c r="B11" s="176"/>
      <c r="C11" s="37" t="s">
        <v>138</v>
      </c>
      <c r="D11" s="40">
        <v>6093.4</v>
      </c>
      <c r="E11" s="40">
        <v>6109.09</v>
      </c>
      <c r="F11" s="74">
        <f>AVERAGE(D11:E11)</f>
        <v>6101.2449999999999</v>
      </c>
      <c r="G11" s="75">
        <f t="shared" si="7"/>
        <v>30506.224999999999</v>
      </c>
      <c r="H11" s="40"/>
      <c r="I11" s="160"/>
      <c r="J11" s="140" t="s">
        <v>138</v>
      </c>
      <c r="K11" s="156">
        <f t="shared" si="8"/>
        <v>30506.224999999999</v>
      </c>
      <c r="L11" s="34">
        <v>3637.85</v>
      </c>
      <c r="M11" s="34">
        <v>3815.19</v>
      </c>
      <c r="N11" s="42">
        <f t="shared" si="0"/>
        <v>3726.52</v>
      </c>
      <c r="O11" s="44">
        <f t="shared" si="9"/>
        <v>0.1192494318782478</v>
      </c>
      <c r="P11" s="44">
        <f t="shared" si="10"/>
        <v>0.12506267163505155</v>
      </c>
      <c r="Q11" s="118">
        <f t="shared" si="3"/>
        <v>0.12215605175664968</v>
      </c>
      <c r="R11" s="122">
        <f t="shared" si="11"/>
        <v>0.97620568251344408</v>
      </c>
      <c r="S11" s="122">
        <f t="shared" si="12"/>
        <v>1.0237943174865558</v>
      </c>
      <c r="T11" s="123">
        <f t="shared" si="4"/>
        <v>1</v>
      </c>
      <c r="U11" s="127">
        <f t="shared" si="5"/>
        <v>3.3650246496898586E-2</v>
      </c>
      <c r="V11" s="34"/>
    </row>
    <row r="12" spans="1:23" x14ac:dyDescent="0.25">
      <c r="A12" s="4"/>
      <c r="B12" s="176"/>
      <c r="C12" s="37" t="s">
        <v>139</v>
      </c>
      <c r="D12" s="40">
        <v>6189.84</v>
      </c>
      <c r="E12" s="40">
        <v>6216.88</v>
      </c>
      <c r="F12" s="74">
        <f t="shared" ref="F12" si="13">AVERAGE(D12:E12)</f>
        <v>6203.3600000000006</v>
      </c>
      <c r="G12" s="75">
        <f t="shared" ref="G12" si="14">F12*5</f>
        <v>31016.800000000003</v>
      </c>
      <c r="H12" s="40"/>
      <c r="I12" s="160"/>
      <c r="J12" s="140" t="s">
        <v>139</v>
      </c>
      <c r="K12" s="156">
        <f t="shared" si="8"/>
        <v>31016.800000000003</v>
      </c>
      <c r="L12" s="34">
        <v>3562.93</v>
      </c>
      <c r="M12" s="34">
        <v>3870.85</v>
      </c>
      <c r="N12" s="42">
        <f t="shared" si="0"/>
        <v>3716.89</v>
      </c>
      <c r="O12" s="44">
        <f t="shared" si="9"/>
        <v>0.11487097315003481</v>
      </c>
      <c r="P12" s="44">
        <f t="shared" si="10"/>
        <v>0.12479849629878</v>
      </c>
      <c r="Q12" s="118">
        <f t="shared" si="3"/>
        <v>0.11983473472440739</v>
      </c>
      <c r="R12" s="122">
        <f>O12/$Q$12</f>
        <v>0.95857827377188998</v>
      </c>
      <c r="S12" s="122">
        <f>P12/$Q$12</f>
        <v>1.04142172622811</v>
      </c>
      <c r="T12" s="123">
        <f t="shared" si="4"/>
        <v>1</v>
      </c>
      <c r="U12" s="127">
        <f t="shared" si="5"/>
        <v>5.8579167008698543E-2</v>
      </c>
      <c r="V12" s="34"/>
    </row>
    <row r="13" spans="1:23" s="40" customFormat="1" ht="15.75" thickBot="1" x14ac:dyDescent="0.3">
      <c r="A13" s="41"/>
      <c r="B13" s="176"/>
      <c r="C13" s="162" t="s">
        <v>140</v>
      </c>
      <c r="D13" s="40">
        <v>6422.91</v>
      </c>
      <c r="E13" s="40">
        <v>6437.84</v>
      </c>
      <c r="F13" s="74">
        <f t="shared" ref="F13:F19" si="15">AVERAGE(D13:E13)</f>
        <v>6430.375</v>
      </c>
      <c r="G13" s="75">
        <f t="shared" ref="G13:G19" si="16">F13*5</f>
        <v>32151.875</v>
      </c>
      <c r="I13" s="160"/>
      <c r="J13" s="141" t="s">
        <v>140</v>
      </c>
      <c r="K13" s="165">
        <f t="shared" si="8"/>
        <v>32151.875</v>
      </c>
      <c r="L13" s="172">
        <v>1343.09</v>
      </c>
      <c r="M13" s="172">
        <v>1263.71</v>
      </c>
      <c r="N13" s="79">
        <f t="shared" si="0"/>
        <v>1303.4000000000001</v>
      </c>
      <c r="O13" s="80">
        <f t="shared" si="9"/>
        <v>4.1773302490134709E-2</v>
      </c>
      <c r="P13" s="80">
        <f t="shared" si="10"/>
        <v>3.9304395155803515E-2</v>
      </c>
      <c r="Q13" s="119">
        <f t="shared" si="3"/>
        <v>4.0538848822969112E-2</v>
      </c>
      <c r="R13" s="124">
        <f>O13/$Q$12</f>
        <v>0.34859093722870749</v>
      </c>
      <c r="S13" s="124">
        <f>P13/$Q$12</f>
        <v>0.3279883353202615</v>
      </c>
      <c r="T13" s="125">
        <f t="shared" si="4"/>
        <v>0.3382896362744845</v>
      </c>
      <c r="U13" s="128">
        <f t="shared" si="5"/>
        <v>1.456823951954906E-2</v>
      </c>
      <c r="V13" s="34"/>
    </row>
    <row r="14" spans="1:23" x14ac:dyDescent="0.25">
      <c r="A14" s="41"/>
      <c r="B14" s="176" t="s">
        <v>36</v>
      </c>
      <c r="C14" s="161" t="s">
        <v>203</v>
      </c>
      <c r="D14" s="40">
        <v>9309.7999999999993</v>
      </c>
      <c r="E14" s="40">
        <v>9571.77</v>
      </c>
      <c r="F14" s="74">
        <f t="shared" si="15"/>
        <v>9440.7849999999999</v>
      </c>
      <c r="G14" s="75">
        <f t="shared" si="16"/>
        <v>47203.925000000003</v>
      </c>
      <c r="H14" s="40"/>
      <c r="I14" s="160" t="s">
        <v>36</v>
      </c>
      <c r="J14" s="140" t="s">
        <v>203</v>
      </c>
      <c r="K14" s="156">
        <f t="shared" si="8"/>
        <v>47203.925000000003</v>
      </c>
      <c r="L14" s="34">
        <v>2983.1</v>
      </c>
      <c r="M14" s="34">
        <v>3262.8</v>
      </c>
      <c r="N14" s="42">
        <f t="shared" si="0"/>
        <v>3122.95</v>
      </c>
      <c r="O14" s="44">
        <f t="shared" si="9"/>
        <v>6.3196016009261932E-2</v>
      </c>
      <c r="P14" s="44">
        <f t="shared" si="10"/>
        <v>6.912137073347184E-2</v>
      </c>
      <c r="Q14" s="118">
        <f t="shared" si="3"/>
        <v>6.6158693371366886E-2</v>
      </c>
      <c r="R14" s="122">
        <f>O14/$Q$17</f>
        <v>0.87652829545705102</v>
      </c>
      <c r="S14" s="122">
        <f>P14/$Q$17</f>
        <v>0.95871292360875138</v>
      </c>
      <c r="T14" s="123">
        <f t="shared" si="4"/>
        <v>0.91762060953290114</v>
      </c>
      <c r="U14" s="127">
        <f t="shared" si="5"/>
        <v>5.8113307875362154E-2</v>
      </c>
      <c r="V14" s="34"/>
    </row>
    <row r="15" spans="1:23" x14ac:dyDescent="0.25">
      <c r="A15" s="41"/>
      <c r="B15" s="176"/>
      <c r="C15" s="37" t="s">
        <v>204</v>
      </c>
      <c r="D15" s="40">
        <v>8751.76</v>
      </c>
      <c r="E15" s="40">
        <v>8912.84</v>
      </c>
      <c r="F15" s="74">
        <f t="shared" si="15"/>
        <v>8832.2999999999993</v>
      </c>
      <c r="G15" s="75">
        <f t="shared" si="16"/>
        <v>44161.5</v>
      </c>
      <c r="H15" s="40"/>
      <c r="I15" s="160"/>
      <c r="J15" s="140" t="s">
        <v>204</v>
      </c>
      <c r="K15" s="156">
        <f t="shared" si="8"/>
        <v>44161.5</v>
      </c>
      <c r="L15" s="34">
        <v>3523.67</v>
      </c>
      <c r="M15" s="34">
        <v>3252.76</v>
      </c>
      <c r="N15" s="42">
        <f t="shared" si="0"/>
        <v>3388.2150000000001</v>
      </c>
      <c r="O15" s="44">
        <f t="shared" si="9"/>
        <v>7.9790541535047499E-2</v>
      </c>
      <c r="P15" s="44">
        <f t="shared" si="10"/>
        <v>7.3656012590152059E-2</v>
      </c>
      <c r="Q15" s="118">
        <f t="shared" si="3"/>
        <v>7.6723277062599779E-2</v>
      </c>
      <c r="R15" s="122">
        <f t="shared" ref="R15:R17" si="17">O15/$Q$17</f>
        <v>1.10669424723008</v>
      </c>
      <c r="S15" s="122">
        <f t="shared" ref="S15:S17" si="18">P15/$Q$17</f>
        <v>1.0216083741156565</v>
      </c>
      <c r="T15" s="123">
        <f t="shared" si="4"/>
        <v>1.0641513106728682</v>
      </c>
      <c r="U15" s="127">
        <f t="shared" si="5"/>
        <v>6.0164797862387008E-2</v>
      </c>
      <c r="V15" s="34"/>
    </row>
    <row r="16" spans="1:23" x14ac:dyDescent="0.25">
      <c r="A16" s="41"/>
      <c r="B16" s="176"/>
      <c r="C16" s="37" t="s">
        <v>205</v>
      </c>
      <c r="D16" s="40">
        <v>8828.76</v>
      </c>
      <c r="E16" s="40">
        <v>8903.7099999999991</v>
      </c>
      <c r="F16" s="74">
        <f t="shared" si="15"/>
        <v>8866.2350000000006</v>
      </c>
      <c r="G16" s="75">
        <f t="shared" si="16"/>
        <v>44331.175000000003</v>
      </c>
      <c r="H16" s="40"/>
      <c r="I16" s="160"/>
      <c r="J16" s="140" t="s">
        <v>205</v>
      </c>
      <c r="K16" s="156">
        <f t="shared" si="8"/>
        <v>44331.175000000003</v>
      </c>
      <c r="L16" s="34">
        <v>3153.41</v>
      </c>
      <c r="M16" s="34">
        <v>3497.36</v>
      </c>
      <c r="N16" s="42">
        <f t="shared" si="0"/>
        <v>3325.3850000000002</v>
      </c>
      <c r="O16" s="44">
        <f t="shared" si="9"/>
        <v>7.1133011926708456E-2</v>
      </c>
      <c r="P16" s="44">
        <f t="shared" si="10"/>
        <v>7.8891660327072316E-2</v>
      </c>
      <c r="Q16" s="118">
        <f t="shared" si="3"/>
        <v>7.5012336126890386E-2</v>
      </c>
      <c r="R16" s="122">
        <f t="shared" si="17"/>
        <v>0.98661437274314712</v>
      </c>
      <c r="S16" s="122">
        <f t="shared" si="18"/>
        <v>1.0942267712276468</v>
      </c>
      <c r="T16" s="123">
        <f t="shared" si="4"/>
        <v>1.0404205719853969</v>
      </c>
      <c r="U16" s="127">
        <f t="shared" si="5"/>
        <v>7.6093456708138663E-2</v>
      </c>
      <c r="V16" s="34"/>
    </row>
    <row r="17" spans="1:23" x14ac:dyDescent="0.25">
      <c r="A17" s="41"/>
      <c r="B17" s="176"/>
      <c r="C17" s="37" t="s">
        <v>138</v>
      </c>
      <c r="D17" s="40">
        <v>8299.1200000000008</v>
      </c>
      <c r="E17" s="40">
        <v>8540.91</v>
      </c>
      <c r="F17" s="74">
        <f t="shared" si="15"/>
        <v>8420.0149999999994</v>
      </c>
      <c r="G17" s="75">
        <f t="shared" si="16"/>
        <v>42100.074999999997</v>
      </c>
      <c r="I17" s="160"/>
      <c r="J17" s="140" t="s">
        <v>138</v>
      </c>
      <c r="K17" s="156">
        <f t="shared" si="8"/>
        <v>42100.074999999997</v>
      </c>
      <c r="L17" s="34">
        <v>3085.2</v>
      </c>
      <c r="M17" s="34">
        <v>2985.47</v>
      </c>
      <c r="N17" s="42">
        <f t="shared" si="0"/>
        <v>3035.335</v>
      </c>
      <c r="O17" s="44">
        <f t="shared" si="9"/>
        <v>7.3282529781716538E-2</v>
      </c>
      <c r="P17" s="44">
        <f t="shared" si="10"/>
        <v>7.0913650391359162E-2</v>
      </c>
      <c r="Q17" s="118">
        <f t="shared" si="3"/>
        <v>7.209809008653785E-2</v>
      </c>
      <c r="R17" s="122">
        <f t="shared" si="17"/>
        <v>1.0164281702019711</v>
      </c>
      <c r="S17" s="122">
        <f t="shared" si="18"/>
        <v>0.98357182979802893</v>
      </c>
      <c r="T17" s="123">
        <f t="shared" si="4"/>
        <v>1</v>
      </c>
      <c r="U17" s="127">
        <f t="shared" si="5"/>
        <v>2.3232941104601036E-2</v>
      </c>
      <c r="V17" s="42"/>
    </row>
    <row r="18" spans="1:23" x14ac:dyDescent="0.25">
      <c r="A18" s="41"/>
      <c r="B18" s="176"/>
      <c r="C18" s="37" t="s">
        <v>139</v>
      </c>
      <c r="D18" s="40">
        <v>8442.81</v>
      </c>
      <c r="E18" s="40">
        <v>8660.5499999999993</v>
      </c>
      <c r="F18" s="74">
        <f t="shared" si="15"/>
        <v>8551.68</v>
      </c>
      <c r="G18" s="75">
        <f t="shared" si="16"/>
        <v>42758.400000000001</v>
      </c>
      <c r="I18" s="160"/>
      <c r="J18" s="140" t="s">
        <v>139</v>
      </c>
      <c r="K18" s="156">
        <f t="shared" si="8"/>
        <v>42758.400000000001</v>
      </c>
      <c r="L18" s="34">
        <v>3023.62</v>
      </c>
      <c r="M18" s="34">
        <v>2872.37</v>
      </c>
      <c r="N18" s="42">
        <f t="shared" si="0"/>
        <v>2947.9949999999999</v>
      </c>
      <c r="O18" s="44">
        <f t="shared" si="9"/>
        <v>7.0714058524173021E-2</v>
      </c>
      <c r="P18" s="44">
        <f t="shared" si="10"/>
        <v>6.7176741879958091E-2</v>
      </c>
      <c r="Q18" s="118">
        <f t="shared" si="3"/>
        <v>6.8945400202065549E-2</v>
      </c>
      <c r="R18" s="122">
        <f>O18/$Q$18</f>
        <v>1.0256530285838341</v>
      </c>
      <c r="S18" s="122">
        <f>P18/$Q$18</f>
        <v>0.97434697141616611</v>
      </c>
      <c r="T18" s="123">
        <f t="shared" si="4"/>
        <v>1</v>
      </c>
      <c r="U18" s="127">
        <f t="shared" si="5"/>
        <v>3.6278860939202719E-2</v>
      </c>
      <c r="V18" s="42"/>
    </row>
    <row r="19" spans="1:23" ht="15.75" thickBot="1" x14ac:dyDescent="0.3">
      <c r="A19" s="41"/>
      <c r="B19" s="176"/>
      <c r="C19" s="37" t="s">
        <v>140</v>
      </c>
      <c r="D19" s="40">
        <v>8669.98</v>
      </c>
      <c r="E19" s="40">
        <v>8774.2000000000007</v>
      </c>
      <c r="F19" s="74">
        <f t="shared" si="15"/>
        <v>8722.09</v>
      </c>
      <c r="G19" s="75">
        <f t="shared" si="16"/>
        <v>43610.45</v>
      </c>
      <c r="I19" s="171"/>
      <c r="J19" s="141" t="s">
        <v>140</v>
      </c>
      <c r="K19" s="165">
        <f t="shared" si="8"/>
        <v>43610.45</v>
      </c>
      <c r="L19" s="172">
        <v>1455.05</v>
      </c>
      <c r="M19" s="172">
        <v>1512.66</v>
      </c>
      <c r="N19" s="79">
        <f t="shared" si="0"/>
        <v>1483.855</v>
      </c>
      <c r="O19" s="80">
        <f t="shared" si="9"/>
        <v>3.3364709605151976E-2</v>
      </c>
      <c r="P19" s="80">
        <f t="shared" si="10"/>
        <v>3.4685723261282567E-2</v>
      </c>
      <c r="Q19" s="119">
        <f t="shared" si="3"/>
        <v>3.4025216433217272E-2</v>
      </c>
      <c r="R19" s="124">
        <f>O19/$Q$18</f>
        <v>0.4839294500774019</v>
      </c>
      <c r="S19" s="124">
        <f>P19/$Q$18</f>
        <v>0.50308973709087867</v>
      </c>
      <c r="T19" s="125">
        <f t="shared" si="4"/>
        <v>0.49350959358414026</v>
      </c>
      <c r="U19" s="128">
        <f t="shared" si="5"/>
        <v>1.3548368876709968E-2</v>
      </c>
      <c r="V19" s="42"/>
    </row>
    <row r="20" spans="1:23" s="40" customFormat="1" x14ac:dyDescent="0.25">
      <c r="A20" s="41"/>
      <c r="B20" s="163"/>
      <c r="C20" s="37"/>
      <c r="D20" s="34"/>
      <c r="E20" s="34"/>
      <c r="F20" s="74"/>
      <c r="G20" s="74"/>
      <c r="I20" s="163"/>
      <c r="J20" s="37"/>
      <c r="K20" s="156"/>
      <c r="L20" s="34"/>
      <c r="M20" s="34"/>
      <c r="N20" s="42"/>
      <c r="O20" s="44"/>
      <c r="P20" s="44"/>
      <c r="Q20" s="118"/>
      <c r="R20" s="122"/>
      <c r="S20" s="122"/>
      <c r="T20" s="123"/>
      <c r="U20" s="123"/>
      <c r="V20" s="42"/>
      <c r="W20" s="34"/>
    </row>
    <row r="21" spans="1:23" s="40" customFormat="1" ht="15.75" thickBot="1" x14ac:dyDescent="0.3">
      <c r="A21" s="41"/>
      <c r="B21" s="163"/>
      <c r="C21" s="37"/>
      <c r="D21" s="34"/>
      <c r="E21" s="34"/>
      <c r="F21" s="74"/>
      <c r="G21" s="74"/>
      <c r="I21" s="116" t="s">
        <v>131</v>
      </c>
      <c r="J21" s="43"/>
      <c r="K21" s="39" t="s">
        <v>141</v>
      </c>
      <c r="L21" s="39" t="s">
        <v>144</v>
      </c>
      <c r="M21" s="39" t="s">
        <v>145</v>
      </c>
      <c r="N21" s="39" t="s">
        <v>146</v>
      </c>
      <c r="O21" s="39" t="s">
        <v>142</v>
      </c>
      <c r="P21" s="39" t="s">
        <v>147</v>
      </c>
      <c r="Q21" s="39" t="s">
        <v>143</v>
      </c>
      <c r="R21" s="39" t="s">
        <v>70</v>
      </c>
      <c r="S21" s="39" t="s">
        <v>71</v>
      </c>
      <c r="T21" s="39" t="s">
        <v>24</v>
      </c>
      <c r="U21" s="39" t="s">
        <v>25</v>
      </c>
      <c r="V21" s="42"/>
      <c r="W21" s="34"/>
    </row>
    <row r="22" spans="1:23" s="40" customFormat="1" ht="13.5" customHeight="1" x14ac:dyDescent="0.25">
      <c r="A22" s="41"/>
      <c r="I22" s="159" t="s">
        <v>35</v>
      </c>
      <c r="J22" s="139" t="s">
        <v>203</v>
      </c>
      <c r="K22" s="76">
        <f>G8</f>
        <v>35651.224999999999</v>
      </c>
      <c r="L22" s="170">
        <v>1448.07</v>
      </c>
      <c r="M22" s="170">
        <v>1490.88</v>
      </c>
      <c r="N22" s="77">
        <f t="shared" ref="N22:N33" si="19">AVERAGE(L22:M22)</f>
        <v>1469.4749999999999</v>
      </c>
      <c r="O22" s="78">
        <f t="shared" ref="O22:O33" si="20">L22/K22</f>
        <v>4.0617678635166111E-2</v>
      </c>
      <c r="P22" s="78">
        <f t="shared" ref="P22:P33" si="21">M22/K22</f>
        <v>4.1818478888172854E-2</v>
      </c>
      <c r="Q22" s="117">
        <f t="shared" ref="Q22:Q33" si="22">AVERAGE(O22:P22)</f>
        <v>4.1218078761669483E-2</v>
      </c>
      <c r="R22" s="120">
        <f>O22/$Q$25</f>
        <v>0.89176673534132944</v>
      </c>
      <c r="S22" s="120">
        <f>P22/$Q$25</f>
        <v>0.91813047047841712</v>
      </c>
      <c r="T22" s="121">
        <f t="shared" ref="T22:T33" si="23">AVERAGE(R22:S22)</f>
        <v>0.90494860290987322</v>
      </c>
      <c r="U22" s="126">
        <f t="shared" ref="U22:U33" si="24">STDEV(R22:S22)</f>
        <v>1.8641975892840747E-2</v>
      </c>
      <c r="V22" s="42"/>
      <c r="W22" s="34"/>
    </row>
    <row r="23" spans="1:23" s="40" customFormat="1" x14ac:dyDescent="0.25">
      <c r="A23" s="41"/>
      <c r="I23" s="160"/>
      <c r="J23" s="140" t="s">
        <v>204</v>
      </c>
      <c r="K23" s="156">
        <f t="shared" ref="K23:K33" si="25">G9</f>
        <v>32996.85</v>
      </c>
      <c r="L23" s="34">
        <v>1579.82</v>
      </c>
      <c r="M23" s="34">
        <v>1657.5</v>
      </c>
      <c r="N23" s="42">
        <f t="shared" si="19"/>
        <v>1618.6599999999999</v>
      </c>
      <c r="O23" s="44">
        <f t="shared" si="20"/>
        <v>4.7877903496848943E-2</v>
      </c>
      <c r="P23" s="44">
        <f t="shared" si="21"/>
        <v>5.0232067606453344E-2</v>
      </c>
      <c r="Q23" s="118">
        <f t="shared" si="22"/>
        <v>4.9054985551651144E-2</v>
      </c>
      <c r="R23" s="122">
        <f t="shared" ref="R23:R25" si="26">O23/$Q$25</f>
        <v>1.0511659733160326</v>
      </c>
      <c r="S23" s="122">
        <f t="shared" ref="S23:S25" si="27">P23/$Q$25</f>
        <v>1.1028519709658846</v>
      </c>
      <c r="T23" s="123">
        <f t="shared" si="23"/>
        <v>1.0770089721409586</v>
      </c>
      <c r="U23" s="127">
        <f t="shared" si="24"/>
        <v>3.6547519430602339E-2</v>
      </c>
      <c r="V23" s="42"/>
      <c r="W23" s="34"/>
    </row>
    <row r="24" spans="1:23" s="40" customFormat="1" x14ac:dyDescent="0.25">
      <c r="A24" s="41"/>
      <c r="B24" s="163"/>
      <c r="C24" s="37"/>
      <c r="D24" s="34"/>
      <c r="E24" s="34"/>
      <c r="F24" s="74"/>
      <c r="G24" s="74"/>
      <c r="I24" s="160"/>
      <c r="J24" s="140" t="s">
        <v>205</v>
      </c>
      <c r="K24" s="156">
        <f t="shared" si="25"/>
        <v>30513.9</v>
      </c>
      <c r="L24" s="34">
        <v>1483.17</v>
      </c>
      <c r="M24" s="34">
        <v>1545.52</v>
      </c>
      <c r="N24" s="42">
        <f t="shared" si="19"/>
        <v>1514.345</v>
      </c>
      <c r="O24" s="44">
        <f t="shared" si="20"/>
        <v>4.860637283336447E-2</v>
      </c>
      <c r="P24" s="44">
        <f t="shared" si="21"/>
        <v>5.064970390543326E-2</v>
      </c>
      <c r="Q24" s="118">
        <f t="shared" si="22"/>
        <v>4.9628038369398865E-2</v>
      </c>
      <c r="R24" s="122">
        <f t="shared" si="26"/>
        <v>1.0671596180502807</v>
      </c>
      <c r="S24" s="122">
        <f t="shared" si="27"/>
        <v>1.1120212334992414</v>
      </c>
      <c r="T24" s="123">
        <f t="shared" si="23"/>
        <v>1.0895904257747611</v>
      </c>
      <c r="U24" s="127">
        <f t="shared" si="24"/>
        <v>3.1721952498943308E-2</v>
      </c>
      <c r="V24" s="42"/>
      <c r="W24" s="34"/>
    </row>
    <row r="25" spans="1:23" s="40" customFormat="1" x14ac:dyDescent="0.25">
      <c r="B25" s="163"/>
      <c r="C25" s="37"/>
      <c r="D25" s="34"/>
      <c r="E25" s="34"/>
      <c r="F25" s="74"/>
      <c r="G25" s="74"/>
      <c r="I25" s="160"/>
      <c r="J25" s="140" t="s">
        <v>138</v>
      </c>
      <c r="K25" s="156">
        <f t="shared" si="25"/>
        <v>30506.224999999999</v>
      </c>
      <c r="L25" s="34">
        <v>1356.37</v>
      </c>
      <c r="M25" s="34">
        <v>1422.59</v>
      </c>
      <c r="N25" s="42">
        <f t="shared" si="19"/>
        <v>1389.48</v>
      </c>
      <c r="O25" s="44">
        <f t="shared" si="20"/>
        <v>4.4462072904792378E-2</v>
      </c>
      <c r="P25" s="44">
        <f t="shared" si="21"/>
        <v>4.6632777408545302E-2</v>
      </c>
      <c r="Q25" s="118">
        <f t="shared" si="22"/>
        <v>4.554742515666884E-2</v>
      </c>
      <c r="R25" s="122">
        <f t="shared" si="26"/>
        <v>0.97617094164723495</v>
      </c>
      <c r="S25" s="122">
        <f t="shared" si="27"/>
        <v>1.0238290583527652</v>
      </c>
      <c r="T25" s="123">
        <f t="shared" si="23"/>
        <v>1</v>
      </c>
      <c r="U25" s="127">
        <f t="shared" si="24"/>
        <v>3.36993775010603E-2</v>
      </c>
      <c r="V25" s="42"/>
      <c r="W25" s="34"/>
    </row>
    <row r="26" spans="1:23" x14ac:dyDescent="0.25">
      <c r="C26" s="37"/>
      <c r="D26" s="34"/>
      <c r="E26" s="34"/>
      <c r="F26" s="74"/>
      <c r="G26" s="74"/>
      <c r="I26" s="160"/>
      <c r="J26" s="140" t="s">
        <v>139</v>
      </c>
      <c r="K26" s="156">
        <f t="shared" si="25"/>
        <v>31016.800000000003</v>
      </c>
      <c r="L26" s="34">
        <v>1467.19</v>
      </c>
      <c r="M26" s="34">
        <v>1487.81</v>
      </c>
      <c r="N26" s="42">
        <f t="shared" si="19"/>
        <v>1477.5</v>
      </c>
      <c r="O26" s="44">
        <f t="shared" si="20"/>
        <v>4.7303074462871735E-2</v>
      </c>
      <c r="P26" s="44">
        <f t="shared" si="21"/>
        <v>4.7967875473936696E-2</v>
      </c>
      <c r="Q26" s="118">
        <f t="shared" si="22"/>
        <v>4.7635474968404215E-2</v>
      </c>
      <c r="R26" s="122">
        <f>O26/$Q$26</f>
        <v>0.9930219966159054</v>
      </c>
      <c r="S26" s="122">
        <f>P26/$Q$26</f>
        <v>1.0069780033840947</v>
      </c>
      <c r="T26" s="123">
        <f t="shared" si="23"/>
        <v>1</v>
      </c>
      <c r="U26" s="127">
        <f t="shared" si="24"/>
        <v>9.8683870240720145E-3</v>
      </c>
      <c r="V26" s="42"/>
      <c r="W26" s="34"/>
    </row>
    <row r="27" spans="1:23" ht="15.75" thickBot="1" x14ac:dyDescent="0.3">
      <c r="B27" s="163"/>
      <c r="C27" s="37"/>
      <c r="D27" s="34"/>
      <c r="E27" s="34"/>
      <c r="F27" s="74"/>
      <c r="G27" s="74"/>
      <c r="I27" s="160"/>
      <c r="J27" s="141" t="s">
        <v>140</v>
      </c>
      <c r="K27" s="165">
        <f t="shared" si="25"/>
        <v>32151.875</v>
      </c>
      <c r="L27" s="172">
        <v>907.96</v>
      </c>
      <c r="M27" s="172">
        <v>843.67</v>
      </c>
      <c r="N27" s="79">
        <f t="shared" si="19"/>
        <v>875.81500000000005</v>
      </c>
      <c r="O27" s="80">
        <f t="shared" si="20"/>
        <v>2.8239721633652782E-2</v>
      </c>
      <c r="P27" s="80">
        <f t="shared" si="21"/>
        <v>2.6240149291448786E-2</v>
      </c>
      <c r="Q27" s="119">
        <f t="shared" si="22"/>
        <v>2.7239935462550782E-2</v>
      </c>
      <c r="R27" s="124">
        <f>O27/$Q$26</f>
        <v>0.59282964329386245</v>
      </c>
      <c r="S27" s="124">
        <f>P27/$Q$26</f>
        <v>0.55085310493604656</v>
      </c>
      <c r="T27" s="125">
        <f t="shared" si="23"/>
        <v>0.5718413741149545</v>
      </c>
      <c r="U27" s="128">
        <f t="shared" si="24"/>
        <v>2.9681894923548842E-2</v>
      </c>
      <c r="V27" s="42"/>
      <c r="W27" s="34"/>
    </row>
    <row r="28" spans="1:23" x14ac:dyDescent="0.25">
      <c r="A28" s="42"/>
      <c r="B28" s="163"/>
      <c r="C28" s="37"/>
      <c r="D28" s="34"/>
      <c r="E28" s="34"/>
      <c r="F28" s="74"/>
      <c r="G28" s="74"/>
      <c r="I28" s="160" t="s">
        <v>36</v>
      </c>
      <c r="J28" s="139" t="s">
        <v>203</v>
      </c>
      <c r="K28" s="76">
        <f t="shared" si="25"/>
        <v>47203.925000000003</v>
      </c>
      <c r="L28" s="170">
        <v>1649.28</v>
      </c>
      <c r="M28" s="170">
        <v>1803.8</v>
      </c>
      <c r="N28" s="77">
        <f t="shared" si="19"/>
        <v>1726.54</v>
      </c>
      <c r="O28" s="78">
        <f t="shared" si="20"/>
        <v>3.4939467427761564E-2</v>
      </c>
      <c r="P28" s="78">
        <f t="shared" si="21"/>
        <v>3.8212924031211383E-2</v>
      </c>
      <c r="Q28" s="117">
        <f t="shared" si="22"/>
        <v>3.6576195729486477E-2</v>
      </c>
      <c r="R28" s="120">
        <f>O28/$Q$31</f>
        <v>0.9813361525680443</v>
      </c>
      <c r="S28" s="120">
        <f>P28/$Q$31</f>
        <v>1.0732769159889397</v>
      </c>
      <c r="T28" s="121">
        <f t="shared" si="23"/>
        <v>1.0273065342784919</v>
      </c>
      <c r="U28" s="126">
        <f t="shared" si="24"/>
        <v>6.501193728238322E-2</v>
      </c>
      <c r="V28" s="42"/>
      <c r="W28" s="34"/>
    </row>
    <row r="29" spans="1:23" x14ac:dyDescent="0.25">
      <c r="A29" s="42"/>
      <c r="B29" s="163"/>
      <c r="C29" s="37"/>
      <c r="D29" s="34"/>
      <c r="E29" s="34"/>
      <c r="F29" s="74"/>
      <c r="G29" s="74"/>
      <c r="I29" s="160"/>
      <c r="J29" s="140" t="s">
        <v>204</v>
      </c>
      <c r="K29" s="156">
        <f t="shared" si="25"/>
        <v>44161.5</v>
      </c>
      <c r="L29" s="34">
        <v>1654.37</v>
      </c>
      <c r="M29" s="34">
        <v>1684.66</v>
      </c>
      <c r="N29" s="42">
        <f t="shared" si="19"/>
        <v>1669.5149999999999</v>
      </c>
      <c r="O29" s="44">
        <f t="shared" si="20"/>
        <v>3.7461816287943116E-2</v>
      </c>
      <c r="P29" s="44">
        <f t="shared" si="21"/>
        <v>3.8147707845068671E-2</v>
      </c>
      <c r="Q29" s="118">
        <f t="shared" si="22"/>
        <v>3.780476206650589E-2</v>
      </c>
      <c r="R29" s="122">
        <f t="shared" ref="R29:R31" si="28">O29/$Q$31</f>
        <v>1.0521807391663565</v>
      </c>
      <c r="S29" s="122">
        <f t="shared" ref="S29:S31" si="29">P29/$Q$31</f>
        <v>1.0714452051499932</v>
      </c>
      <c r="T29" s="123">
        <f t="shared" si="23"/>
        <v>1.0618129721581748</v>
      </c>
      <c r="U29" s="127">
        <f t="shared" si="24"/>
        <v>1.362203453296711E-2</v>
      </c>
      <c r="V29" s="42"/>
      <c r="W29" s="34"/>
    </row>
    <row r="30" spans="1:23" x14ac:dyDescent="0.25">
      <c r="A30" s="42"/>
      <c r="B30" s="163"/>
      <c r="C30" s="37"/>
      <c r="D30" s="34"/>
      <c r="E30" s="34"/>
      <c r="F30" s="74"/>
      <c r="G30" s="74"/>
      <c r="I30" s="160"/>
      <c r="J30" s="140" t="s">
        <v>205</v>
      </c>
      <c r="K30" s="156">
        <f t="shared" si="25"/>
        <v>44331.175000000003</v>
      </c>
      <c r="L30" s="34">
        <v>1480.31</v>
      </c>
      <c r="M30" s="34">
        <v>1578.86</v>
      </c>
      <c r="N30" s="42">
        <f t="shared" si="19"/>
        <v>1529.585</v>
      </c>
      <c r="O30" s="44">
        <f t="shared" si="20"/>
        <v>3.3392076794716133E-2</v>
      </c>
      <c r="P30" s="44">
        <f t="shared" si="21"/>
        <v>3.5615117352517718E-2</v>
      </c>
      <c r="Q30" s="118">
        <f t="shared" si="22"/>
        <v>3.4503597073616929E-2</v>
      </c>
      <c r="R30" s="122">
        <f t="shared" si="28"/>
        <v>0.93787497579160373</v>
      </c>
      <c r="S30" s="122">
        <f t="shared" si="29"/>
        <v>1.0003129643644448</v>
      </c>
      <c r="T30" s="123">
        <f t="shared" si="23"/>
        <v>0.96909397007802434</v>
      </c>
      <c r="U30" s="127">
        <f t="shared" si="24"/>
        <v>4.4150325123504114E-2</v>
      </c>
      <c r="V30" s="42"/>
      <c r="W30" s="34"/>
    </row>
    <row r="31" spans="1:23" x14ac:dyDescent="0.25">
      <c r="A31" s="42"/>
      <c r="B31" s="163"/>
      <c r="C31" s="37"/>
      <c r="D31" s="34"/>
      <c r="E31" s="34"/>
      <c r="F31" s="74"/>
      <c r="G31" s="74"/>
      <c r="I31" s="160"/>
      <c r="J31" s="140" t="s">
        <v>138</v>
      </c>
      <c r="K31" s="156">
        <f t="shared" si="25"/>
        <v>42100.074999999997</v>
      </c>
      <c r="L31" s="34">
        <v>1537.9</v>
      </c>
      <c r="M31" s="34">
        <v>1459.96</v>
      </c>
      <c r="N31" s="42">
        <f t="shared" si="19"/>
        <v>1498.93</v>
      </c>
      <c r="O31" s="44">
        <f t="shared" si="20"/>
        <v>3.6529626134870312E-2</v>
      </c>
      <c r="P31" s="44">
        <f t="shared" si="21"/>
        <v>3.4678323019614578E-2</v>
      </c>
      <c r="Q31" s="118">
        <f t="shared" si="22"/>
        <v>3.5603974577242445E-2</v>
      </c>
      <c r="R31" s="122">
        <f t="shared" si="28"/>
        <v>1.0259985456292156</v>
      </c>
      <c r="S31" s="122">
        <f t="shared" si="29"/>
        <v>0.97400145437078445</v>
      </c>
      <c r="T31" s="123">
        <f t="shared" si="23"/>
        <v>1</v>
      </c>
      <c r="U31" s="127">
        <f t="shared" si="24"/>
        <v>3.6767495830812388E-2</v>
      </c>
      <c r="V31" s="42"/>
      <c r="W31" s="34"/>
    </row>
    <row r="32" spans="1:23" x14ac:dyDescent="0.25">
      <c r="A32" s="42"/>
      <c r="B32" s="163"/>
      <c r="C32" s="34"/>
      <c r="D32" s="34"/>
      <c r="E32" s="34"/>
      <c r="F32" s="74"/>
      <c r="G32" s="74"/>
      <c r="I32" s="160"/>
      <c r="J32" s="140" t="s">
        <v>139</v>
      </c>
      <c r="K32" s="156">
        <f t="shared" si="25"/>
        <v>42758.400000000001</v>
      </c>
      <c r="L32" s="34">
        <v>1439.08</v>
      </c>
      <c r="M32" s="34">
        <v>1490.16</v>
      </c>
      <c r="N32" s="42">
        <f t="shared" si="19"/>
        <v>1464.62</v>
      </c>
      <c r="O32" s="44">
        <f t="shared" si="20"/>
        <v>3.3656076934590627E-2</v>
      </c>
      <c r="P32" s="44">
        <f t="shared" si="21"/>
        <v>3.485069600359228E-2</v>
      </c>
      <c r="Q32" s="118">
        <f t="shared" si="22"/>
        <v>3.4253386469091457E-2</v>
      </c>
      <c r="R32" s="122">
        <f>O32/$Q$32</f>
        <v>0.98256202974150275</v>
      </c>
      <c r="S32" s="122">
        <f>P32/$Q$32</f>
        <v>1.017437970258497</v>
      </c>
      <c r="T32" s="123">
        <f t="shared" si="23"/>
        <v>0.99999999999999989</v>
      </c>
      <c r="U32" s="127">
        <f t="shared" si="24"/>
        <v>2.4661014039825319E-2</v>
      </c>
      <c r="V32" s="42"/>
      <c r="W32" s="34"/>
    </row>
    <row r="33" spans="1:27" ht="15.75" thickBot="1" x14ac:dyDescent="0.3">
      <c r="A33" s="42"/>
      <c r="B33" s="163"/>
      <c r="C33" s="37"/>
      <c r="D33" s="34"/>
      <c r="E33" s="34"/>
      <c r="F33" s="74"/>
      <c r="G33" s="74"/>
      <c r="I33" s="171"/>
      <c r="J33" s="141" t="s">
        <v>140</v>
      </c>
      <c r="K33" s="165">
        <f t="shared" si="25"/>
        <v>43610.45</v>
      </c>
      <c r="L33" s="172">
        <v>1157.01</v>
      </c>
      <c r="M33" s="172">
        <v>1191.52</v>
      </c>
      <c r="N33" s="79">
        <f t="shared" si="19"/>
        <v>1174.2649999999999</v>
      </c>
      <c r="O33" s="80">
        <f t="shared" si="20"/>
        <v>2.653056778822507E-2</v>
      </c>
      <c r="P33" s="80">
        <f t="shared" si="21"/>
        <v>2.7321891886004389E-2</v>
      </c>
      <c r="Q33" s="119">
        <f t="shared" si="22"/>
        <v>2.6926229837114728E-2</v>
      </c>
      <c r="R33" s="124">
        <f>O33/$Q$32</f>
        <v>0.77453853539897222</v>
      </c>
      <c r="S33" s="124">
        <f>P33/$Q$32</f>
        <v>0.79764060440150342</v>
      </c>
      <c r="T33" s="125">
        <f t="shared" si="23"/>
        <v>0.78608956990023782</v>
      </c>
      <c r="U33" s="128">
        <f t="shared" si="24"/>
        <v>1.6335629651129353E-2</v>
      </c>
      <c r="V33" s="42"/>
      <c r="W33" s="34"/>
    </row>
    <row r="34" spans="1:27" x14ac:dyDescent="0.25">
      <c r="A34" s="42"/>
      <c r="B34" s="163"/>
      <c r="C34" s="37"/>
      <c r="D34" s="34"/>
      <c r="E34" s="34"/>
      <c r="F34" s="74"/>
      <c r="G34" s="74"/>
      <c r="I34" s="163"/>
      <c r="J34" s="37"/>
      <c r="K34" s="156"/>
      <c r="L34" s="34"/>
      <c r="M34" s="34"/>
      <c r="N34" s="42"/>
      <c r="O34" s="44"/>
      <c r="P34" s="44"/>
      <c r="Q34" s="118"/>
      <c r="R34" s="122"/>
      <c r="S34" s="122"/>
      <c r="T34" s="123"/>
      <c r="U34" s="123"/>
      <c r="V34" s="42"/>
      <c r="W34" s="34"/>
    </row>
    <row r="35" spans="1:27" x14ac:dyDescent="0.25">
      <c r="A35" s="42"/>
      <c r="B35" s="163"/>
      <c r="C35" s="37"/>
      <c r="D35" s="34"/>
      <c r="E35" s="34"/>
      <c r="F35" s="74"/>
      <c r="G35" s="74"/>
      <c r="I35" s="163"/>
      <c r="J35" s="37"/>
      <c r="K35" s="156"/>
      <c r="L35" s="34"/>
      <c r="M35" s="34"/>
      <c r="N35" s="42"/>
      <c r="O35" s="44"/>
      <c r="P35" s="44"/>
      <c r="Q35" s="118"/>
      <c r="R35" s="122"/>
      <c r="S35" s="122"/>
      <c r="T35" s="123"/>
      <c r="U35" s="123"/>
      <c r="V35" s="42"/>
      <c r="W35" s="34"/>
    </row>
    <row r="36" spans="1:27" x14ac:dyDescent="0.25">
      <c r="A36" s="42"/>
      <c r="B36" s="163"/>
      <c r="C36" s="37"/>
      <c r="D36" s="34"/>
      <c r="E36" s="34"/>
      <c r="F36" s="74"/>
      <c r="G36" s="74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2"/>
      <c r="W36" s="34"/>
    </row>
    <row r="37" spans="1:27" x14ac:dyDescent="0.25">
      <c r="A37" s="42"/>
      <c r="B37" s="163"/>
      <c r="C37" s="37"/>
      <c r="D37" s="34"/>
      <c r="E37" s="34"/>
      <c r="F37" s="74"/>
      <c r="G37" s="74"/>
      <c r="H37" s="44"/>
      <c r="I37" s="163"/>
      <c r="J37" s="37"/>
      <c r="K37" s="156"/>
      <c r="L37" s="34"/>
      <c r="M37" s="34"/>
      <c r="N37" s="42"/>
      <c r="O37" s="44"/>
      <c r="P37" s="44"/>
      <c r="Q37" s="118"/>
      <c r="R37" s="122"/>
      <c r="S37" s="122"/>
      <c r="T37" s="123"/>
      <c r="U37" s="123"/>
      <c r="V37" s="42"/>
      <c r="W37" s="34"/>
    </row>
    <row r="38" spans="1:27" x14ac:dyDescent="0.25">
      <c r="A38" s="34"/>
      <c r="B38" s="163"/>
      <c r="C38" s="37"/>
      <c r="D38" s="34"/>
      <c r="E38" s="34"/>
      <c r="F38" s="74"/>
      <c r="G38" s="74"/>
      <c r="H38" s="44"/>
      <c r="I38" s="163"/>
      <c r="J38" s="37"/>
      <c r="K38" s="156"/>
      <c r="L38" s="34"/>
      <c r="M38" s="34"/>
      <c r="N38" s="42"/>
      <c r="O38" s="44"/>
      <c r="P38" s="44"/>
      <c r="Q38" s="118"/>
      <c r="R38" s="122"/>
      <c r="S38" s="122"/>
      <c r="T38" s="123"/>
      <c r="U38" s="123"/>
      <c r="V38" s="42"/>
      <c r="W38" s="34"/>
    </row>
    <row r="39" spans="1:27" x14ac:dyDescent="0.25">
      <c r="A39" s="34"/>
      <c r="B39" s="163"/>
      <c r="C39" s="37"/>
      <c r="D39" s="34"/>
      <c r="E39" s="34"/>
      <c r="F39" s="74"/>
      <c r="G39" s="74"/>
      <c r="H39" s="44"/>
      <c r="I39" s="163"/>
      <c r="J39" s="37"/>
      <c r="K39" s="156"/>
      <c r="L39" s="34"/>
      <c r="M39" s="34"/>
      <c r="N39" s="42"/>
      <c r="O39" s="44"/>
      <c r="P39" s="44"/>
      <c r="Q39" s="118"/>
      <c r="R39" s="122"/>
      <c r="S39" s="122"/>
      <c r="T39" s="123"/>
      <c r="U39" s="123"/>
      <c r="V39" s="42"/>
      <c r="W39" s="34"/>
    </row>
    <row r="40" spans="1:27" x14ac:dyDescent="0.25">
      <c r="A40" s="42"/>
      <c r="B40" s="163"/>
      <c r="C40" s="37"/>
      <c r="D40" s="34"/>
      <c r="E40" s="34"/>
      <c r="F40" s="74"/>
      <c r="G40" s="74"/>
      <c r="H40" s="44"/>
      <c r="I40" s="163"/>
      <c r="J40" s="37"/>
      <c r="K40" s="156"/>
      <c r="L40" s="34"/>
      <c r="M40" s="34"/>
      <c r="N40" s="42"/>
      <c r="O40" s="44"/>
      <c r="P40" s="44"/>
      <c r="Q40" s="118"/>
      <c r="R40" s="122"/>
      <c r="S40" s="122"/>
      <c r="T40" s="123"/>
      <c r="U40" s="123"/>
      <c r="V40" s="42"/>
      <c r="W40" s="34"/>
    </row>
    <row r="41" spans="1:27" x14ac:dyDescent="0.25">
      <c r="A41" s="42"/>
      <c r="B41" s="163"/>
      <c r="C41" s="37"/>
      <c r="D41" s="34"/>
      <c r="E41" s="34"/>
      <c r="F41" s="74"/>
      <c r="G41" s="74"/>
      <c r="H41" s="44"/>
      <c r="I41" s="163"/>
      <c r="J41" s="37"/>
      <c r="K41" s="156"/>
      <c r="L41" s="34"/>
      <c r="M41" s="34"/>
      <c r="N41" s="42"/>
      <c r="O41" s="44"/>
      <c r="P41" s="44"/>
      <c r="Q41" s="118"/>
      <c r="R41" s="122"/>
      <c r="S41" s="122"/>
      <c r="T41" s="123"/>
      <c r="U41" s="123"/>
      <c r="V41" s="42"/>
      <c r="W41" s="34"/>
    </row>
    <row r="42" spans="1:27" x14ac:dyDescent="0.25">
      <c r="A42" s="42"/>
      <c r="B42" s="163"/>
      <c r="C42" s="37"/>
      <c r="D42" s="34"/>
      <c r="E42" s="34"/>
      <c r="F42" s="74"/>
      <c r="G42" s="74"/>
      <c r="H42" s="40"/>
      <c r="I42" s="34"/>
      <c r="J42" s="37"/>
      <c r="K42" s="156"/>
      <c r="L42" s="34"/>
      <c r="M42" s="34"/>
      <c r="N42" s="42"/>
      <c r="O42" s="44"/>
      <c r="P42" s="44"/>
      <c r="Q42" s="118"/>
      <c r="R42" s="122"/>
      <c r="S42" s="122"/>
      <c r="T42" s="123"/>
      <c r="U42" s="123"/>
      <c r="V42" s="34"/>
      <c r="W42" s="34"/>
    </row>
    <row r="43" spans="1:27" x14ac:dyDescent="0.25">
      <c r="A43" s="42"/>
      <c r="B43" s="163"/>
      <c r="C43" s="37"/>
      <c r="D43" s="34"/>
      <c r="E43" s="34"/>
      <c r="F43" s="74"/>
      <c r="G43" s="74"/>
      <c r="H43" s="40"/>
      <c r="I43" s="34"/>
      <c r="J43" s="37"/>
      <c r="K43" s="156"/>
      <c r="L43" s="34"/>
      <c r="M43" s="34"/>
      <c r="N43" s="42"/>
      <c r="O43" s="44"/>
      <c r="P43" s="44"/>
      <c r="Q43" s="118"/>
      <c r="R43" s="122"/>
      <c r="S43" s="122"/>
      <c r="T43" s="123"/>
      <c r="U43" s="123"/>
      <c r="V43" s="34"/>
      <c r="W43" s="34"/>
      <c r="X43" s="40"/>
      <c r="Y43" s="40"/>
      <c r="Z43" s="40"/>
      <c r="AA43" s="40"/>
    </row>
    <row r="44" spans="1:27" x14ac:dyDescent="0.25">
      <c r="A44" s="42"/>
      <c r="B44" s="43"/>
      <c r="C44" s="37"/>
      <c r="D44" s="42"/>
      <c r="E44" s="42"/>
      <c r="F44" s="42"/>
      <c r="G44" s="44"/>
      <c r="H44" s="4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42"/>
      <c r="W44" s="34"/>
    </row>
    <row r="45" spans="1:27" x14ac:dyDescent="0.25">
      <c r="A45" s="40"/>
      <c r="B45" s="40"/>
      <c r="C45" s="40"/>
      <c r="D45" s="40"/>
      <c r="E45" s="40"/>
      <c r="F45" s="40"/>
      <c r="G45" s="40"/>
      <c r="H45" s="40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</row>
    <row r="46" spans="1:27" s="40" customFormat="1" x14ac:dyDescent="0.25"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</row>
    <row r="47" spans="1:27" s="40" customFormat="1" x14ac:dyDescent="0.25">
      <c r="A47" s="41"/>
      <c r="B47" s="43"/>
      <c r="C47" s="41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42"/>
      <c r="W47" s="34"/>
    </row>
    <row r="48" spans="1:27" s="40" customFormat="1" x14ac:dyDescent="0.25">
      <c r="I48" s="169"/>
      <c r="J48" s="43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2"/>
      <c r="W48" s="34"/>
    </row>
    <row r="49" spans="1:23" x14ac:dyDescent="0.25">
      <c r="A49" s="40"/>
      <c r="B49" s="40"/>
      <c r="C49" s="40"/>
      <c r="D49" s="40"/>
      <c r="E49" s="40"/>
      <c r="F49" s="40"/>
      <c r="G49" s="40"/>
      <c r="H49" s="40"/>
      <c r="I49" s="163"/>
      <c r="J49" s="37"/>
      <c r="K49" s="156"/>
      <c r="L49" s="34"/>
      <c r="M49" s="34"/>
      <c r="N49" s="42"/>
      <c r="O49" s="44"/>
      <c r="P49" s="44"/>
      <c r="Q49" s="118"/>
      <c r="R49" s="122"/>
      <c r="S49" s="122"/>
      <c r="T49" s="123"/>
      <c r="U49" s="123"/>
      <c r="V49" s="42"/>
      <c r="W49" s="34"/>
    </row>
    <row r="50" spans="1:23" x14ac:dyDescent="0.25">
      <c r="I50" s="163"/>
      <c r="J50" s="37"/>
      <c r="K50" s="156"/>
      <c r="L50" s="34"/>
      <c r="M50" s="34"/>
      <c r="N50" s="42"/>
      <c r="O50" s="44"/>
      <c r="P50" s="44"/>
      <c r="Q50" s="118"/>
      <c r="R50" s="122"/>
      <c r="S50" s="122"/>
      <c r="T50" s="123"/>
      <c r="U50" s="123"/>
      <c r="V50" s="42"/>
      <c r="W50" s="34"/>
    </row>
    <row r="51" spans="1:23" x14ac:dyDescent="0.25">
      <c r="F51" s="40"/>
      <c r="G51" s="40"/>
      <c r="H51" s="40"/>
      <c r="I51" s="163"/>
      <c r="J51" s="37"/>
      <c r="K51" s="156"/>
      <c r="L51" s="34"/>
      <c r="M51" s="34"/>
      <c r="N51" s="42"/>
      <c r="O51" s="44"/>
      <c r="P51" s="44"/>
      <c r="Q51" s="118"/>
      <c r="R51" s="122"/>
      <c r="S51" s="122"/>
      <c r="T51" s="123"/>
      <c r="U51" s="123"/>
      <c r="V51" s="42"/>
      <c r="W51" s="34"/>
    </row>
    <row r="52" spans="1:23" x14ac:dyDescent="0.25">
      <c r="I52" s="163"/>
      <c r="J52" s="37"/>
      <c r="K52" s="156"/>
      <c r="L52" s="34"/>
      <c r="M52" s="34"/>
      <c r="N52" s="42"/>
      <c r="O52" s="44"/>
      <c r="P52" s="44"/>
      <c r="Q52" s="118"/>
      <c r="R52" s="122"/>
      <c r="S52" s="122"/>
      <c r="T52" s="123"/>
      <c r="U52" s="123"/>
      <c r="V52" s="42"/>
      <c r="W52" s="34"/>
    </row>
    <row r="53" spans="1:23" x14ac:dyDescent="0.25">
      <c r="I53" s="163"/>
      <c r="J53" s="37"/>
      <c r="K53" s="156"/>
      <c r="L53" s="34"/>
      <c r="M53" s="34"/>
      <c r="N53" s="42"/>
      <c r="O53" s="44"/>
      <c r="P53" s="44"/>
      <c r="Q53" s="118"/>
      <c r="R53" s="122"/>
      <c r="S53" s="122"/>
      <c r="T53" s="123"/>
      <c r="U53" s="123"/>
      <c r="V53" s="42"/>
      <c r="W53" s="34"/>
    </row>
    <row r="54" spans="1:23" x14ac:dyDescent="0.25">
      <c r="I54" s="163"/>
      <c r="J54" s="37"/>
      <c r="K54" s="156"/>
      <c r="L54" s="34"/>
      <c r="M54" s="34"/>
      <c r="N54" s="42"/>
      <c r="O54" s="44"/>
      <c r="P54" s="44"/>
      <c r="Q54" s="118"/>
      <c r="R54" s="122"/>
      <c r="S54" s="122"/>
      <c r="T54" s="123"/>
      <c r="U54" s="123"/>
      <c r="V54" s="42"/>
      <c r="W54" s="34"/>
    </row>
    <row r="55" spans="1:23" x14ac:dyDescent="0.25">
      <c r="I55" s="163"/>
      <c r="J55" s="34"/>
      <c r="K55" s="156"/>
      <c r="L55" s="34"/>
      <c r="M55" s="34"/>
      <c r="N55" s="42"/>
      <c r="O55" s="44"/>
      <c r="P55" s="44"/>
      <c r="Q55" s="118"/>
      <c r="R55" s="122"/>
      <c r="S55" s="122"/>
      <c r="T55" s="123"/>
      <c r="U55" s="123"/>
      <c r="V55" s="42"/>
      <c r="W55" s="34"/>
    </row>
    <row r="56" spans="1:23" x14ac:dyDescent="0.25">
      <c r="I56" s="163"/>
      <c r="J56" s="37"/>
      <c r="K56" s="156"/>
      <c r="L56" s="34"/>
      <c r="M56" s="34"/>
      <c r="N56" s="42"/>
      <c r="O56" s="44"/>
      <c r="P56" s="44"/>
      <c r="Q56" s="118"/>
      <c r="R56" s="122"/>
      <c r="S56" s="122"/>
      <c r="T56" s="123"/>
      <c r="U56" s="123"/>
      <c r="V56" s="42"/>
      <c r="W56" s="34"/>
    </row>
    <row r="57" spans="1:23" x14ac:dyDescent="0.25">
      <c r="I57" s="163"/>
      <c r="J57" s="37"/>
      <c r="K57" s="156"/>
      <c r="L57" s="34"/>
      <c r="M57" s="34"/>
      <c r="N57" s="42"/>
      <c r="O57" s="44"/>
      <c r="P57" s="44"/>
      <c r="Q57" s="118"/>
      <c r="R57" s="122"/>
      <c r="S57" s="122"/>
      <c r="T57" s="123"/>
      <c r="U57" s="123"/>
      <c r="V57" s="42"/>
      <c r="W57" s="34"/>
    </row>
    <row r="58" spans="1:23" x14ac:dyDescent="0.25">
      <c r="I58" s="163"/>
      <c r="J58" s="37"/>
      <c r="K58" s="156"/>
      <c r="L58" s="34"/>
      <c r="M58" s="34"/>
      <c r="N58" s="42"/>
      <c r="O58" s="44"/>
      <c r="P58" s="44"/>
      <c r="Q58" s="118"/>
      <c r="R58" s="122"/>
      <c r="S58" s="122"/>
      <c r="T58" s="123"/>
      <c r="U58" s="123"/>
      <c r="V58" s="42"/>
      <c r="W58" s="34"/>
    </row>
    <row r="59" spans="1:23" x14ac:dyDescent="0.25">
      <c r="I59" s="163"/>
      <c r="J59" s="37"/>
      <c r="K59" s="156"/>
      <c r="L59" s="34"/>
      <c r="M59" s="34"/>
      <c r="N59" s="42"/>
      <c r="O59" s="44"/>
      <c r="P59" s="44"/>
      <c r="Q59" s="118"/>
      <c r="R59" s="122"/>
      <c r="S59" s="122"/>
      <c r="T59" s="123"/>
      <c r="U59" s="123"/>
      <c r="V59" s="42"/>
      <c r="W59" s="34"/>
    </row>
    <row r="60" spans="1:23" x14ac:dyDescent="0.25">
      <c r="I60" s="163"/>
      <c r="J60" s="37"/>
      <c r="K60" s="156"/>
      <c r="L60" s="34"/>
      <c r="M60" s="34"/>
      <c r="N60" s="42"/>
      <c r="O60" s="44"/>
      <c r="P60" s="44"/>
      <c r="Q60" s="118"/>
      <c r="R60" s="122"/>
      <c r="S60" s="122"/>
      <c r="T60" s="123"/>
      <c r="U60" s="123"/>
      <c r="V60" s="42"/>
      <c r="W60" s="34"/>
    </row>
    <row r="61" spans="1:23" x14ac:dyDescent="0.25">
      <c r="I61" s="163"/>
      <c r="J61" s="37"/>
      <c r="K61" s="156"/>
      <c r="L61" s="34"/>
      <c r="M61" s="34"/>
      <c r="N61" s="42"/>
      <c r="O61" s="44"/>
      <c r="P61" s="44"/>
      <c r="Q61" s="118"/>
      <c r="R61" s="122"/>
      <c r="S61" s="122"/>
      <c r="T61" s="123"/>
      <c r="U61" s="123"/>
      <c r="V61" s="42"/>
      <c r="W61" s="34"/>
    </row>
    <row r="62" spans="1:23" x14ac:dyDescent="0.25">
      <c r="I62" s="163"/>
      <c r="J62" s="37"/>
      <c r="K62" s="156"/>
      <c r="L62" s="34"/>
      <c r="M62" s="34"/>
      <c r="N62" s="42"/>
      <c r="O62" s="44"/>
      <c r="P62" s="44"/>
      <c r="Q62" s="118"/>
      <c r="R62" s="122"/>
      <c r="S62" s="122"/>
      <c r="T62" s="123"/>
      <c r="U62" s="123"/>
      <c r="V62" s="42"/>
      <c r="W62" s="34"/>
    </row>
    <row r="63" spans="1:23" x14ac:dyDescent="0.25">
      <c r="I63" s="163"/>
      <c r="J63" s="37"/>
      <c r="K63" s="156"/>
      <c r="L63" s="34"/>
      <c r="M63" s="34"/>
      <c r="N63" s="42"/>
      <c r="O63" s="44"/>
      <c r="P63" s="44"/>
      <c r="Q63" s="118"/>
      <c r="R63" s="122"/>
      <c r="S63" s="122"/>
      <c r="T63" s="123"/>
      <c r="U63" s="123"/>
      <c r="V63" s="42"/>
      <c r="W63" s="34"/>
    </row>
    <row r="64" spans="1:23" x14ac:dyDescent="0.25">
      <c r="I64" s="163"/>
      <c r="J64" s="37"/>
      <c r="K64" s="156"/>
      <c r="L64" s="34"/>
      <c r="M64" s="34"/>
      <c r="N64" s="42"/>
      <c r="O64" s="44"/>
      <c r="P64" s="44"/>
      <c r="Q64" s="118"/>
      <c r="R64" s="122"/>
      <c r="S64" s="122"/>
      <c r="T64" s="123"/>
      <c r="U64" s="123"/>
      <c r="V64" s="42"/>
      <c r="W64" s="34"/>
    </row>
    <row r="65" spans="4:24" x14ac:dyDescent="0.25">
      <c r="I65" s="163"/>
      <c r="J65" s="37"/>
      <c r="K65" s="156"/>
      <c r="L65" s="34"/>
      <c r="M65" s="34"/>
      <c r="N65" s="42"/>
      <c r="O65" s="44"/>
      <c r="P65" s="44"/>
      <c r="Q65" s="118"/>
      <c r="R65" s="122"/>
      <c r="S65" s="122"/>
      <c r="T65" s="123"/>
      <c r="U65" s="123"/>
      <c r="V65" s="42"/>
      <c r="W65" s="34"/>
    </row>
    <row r="66" spans="4:24" x14ac:dyDescent="0.25">
      <c r="I66" s="34"/>
      <c r="J66" s="37"/>
      <c r="K66" s="156"/>
      <c r="L66" s="34"/>
      <c r="M66" s="34"/>
      <c r="N66" s="42"/>
      <c r="O66" s="44"/>
      <c r="P66" s="44"/>
      <c r="Q66" s="118"/>
      <c r="R66" s="122"/>
      <c r="S66" s="122"/>
      <c r="T66" s="123"/>
      <c r="U66" s="123"/>
      <c r="V66" s="42"/>
      <c r="W66" s="34"/>
    </row>
    <row r="67" spans="4:24" x14ac:dyDescent="0.25">
      <c r="I67" s="163"/>
      <c r="J67" s="37"/>
      <c r="K67" s="156"/>
      <c r="L67" s="34"/>
      <c r="M67" s="34"/>
      <c r="N67" s="42"/>
      <c r="O67" s="44"/>
      <c r="P67" s="44"/>
      <c r="Q67" s="118"/>
      <c r="R67" s="122"/>
      <c r="S67" s="122"/>
      <c r="T67" s="123"/>
      <c r="U67" s="123"/>
      <c r="V67" s="42"/>
      <c r="W67" s="34"/>
    </row>
    <row r="68" spans="4:24" x14ac:dyDescent="0.25">
      <c r="I68" s="163"/>
      <c r="J68" s="37"/>
      <c r="K68" s="156"/>
      <c r="L68" s="34"/>
      <c r="M68" s="34"/>
      <c r="N68" s="42"/>
      <c r="O68" s="44"/>
      <c r="P68" s="44"/>
      <c r="Q68" s="118"/>
      <c r="R68" s="122"/>
      <c r="S68" s="122"/>
      <c r="T68" s="123"/>
      <c r="U68" s="123"/>
      <c r="V68" s="42"/>
      <c r="W68" s="34"/>
    </row>
    <row r="69" spans="4:24" x14ac:dyDescent="0.25">
      <c r="I69" s="163"/>
      <c r="J69" s="37"/>
      <c r="K69" s="156"/>
      <c r="L69" s="34"/>
      <c r="M69" s="34"/>
      <c r="N69" s="42"/>
      <c r="O69" s="44"/>
      <c r="P69" s="44"/>
      <c r="Q69" s="118"/>
      <c r="R69" s="122"/>
      <c r="S69" s="122"/>
      <c r="T69" s="123"/>
      <c r="U69" s="123"/>
      <c r="V69" s="42"/>
      <c r="W69" s="34"/>
    </row>
    <row r="70" spans="4:24" x14ac:dyDescent="0.25">
      <c r="I70" s="163"/>
      <c r="J70" s="37"/>
      <c r="K70" s="156"/>
      <c r="L70" s="34"/>
      <c r="M70" s="34"/>
      <c r="N70" s="42"/>
      <c r="O70" s="44"/>
      <c r="P70" s="44"/>
      <c r="Q70" s="118"/>
      <c r="R70" s="122"/>
      <c r="S70" s="122"/>
      <c r="T70" s="123"/>
      <c r="U70" s="123"/>
      <c r="V70" s="42"/>
      <c r="W70" s="34"/>
    </row>
    <row r="71" spans="4:24" x14ac:dyDescent="0.25">
      <c r="I71" s="163"/>
      <c r="J71" s="37"/>
      <c r="K71" s="156"/>
      <c r="L71" s="34"/>
      <c r="M71" s="34"/>
      <c r="N71" s="42"/>
      <c r="O71" s="44"/>
      <c r="P71" s="44"/>
      <c r="Q71" s="118"/>
      <c r="R71" s="122"/>
      <c r="S71" s="122"/>
      <c r="T71" s="123"/>
      <c r="U71" s="123"/>
      <c r="V71" s="42"/>
      <c r="W71" s="34"/>
    </row>
    <row r="72" spans="4:24" x14ac:dyDescent="0.25">
      <c r="I72" s="163"/>
      <c r="J72" s="37"/>
      <c r="K72" s="156"/>
      <c r="L72" s="34"/>
      <c r="M72" s="34"/>
      <c r="N72" s="42"/>
      <c r="O72" s="44"/>
      <c r="P72" s="44"/>
      <c r="Q72" s="118"/>
      <c r="R72" s="122"/>
      <c r="S72" s="122"/>
      <c r="T72" s="123"/>
      <c r="U72" s="123"/>
      <c r="V72" s="42"/>
      <c r="W72" s="34"/>
    </row>
    <row r="73" spans="4:24" x14ac:dyDescent="0.25">
      <c r="I73" s="163"/>
      <c r="J73" s="34"/>
      <c r="K73" s="156"/>
      <c r="L73" s="34"/>
      <c r="M73" s="34"/>
      <c r="N73" s="42"/>
      <c r="O73" s="44"/>
      <c r="P73" s="44"/>
      <c r="Q73" s="118"/>
      <c r="R73" s="122"/>
      <c r="S73" s="122"/>
      <c r="T73" s="123"/>
      <c r="U73" s="123"/>
      <c r="V73" s="34"/>
      <c r="W73" s="34"/>
    </row>
    <row r="74" spans="4:24" x14ac:dyDescent="0.25">
      <c r="I74" s="163"/>
      <c r="J74" s="37"/>
      <c r="K74" s="156"/>
      <c r="L74" s="34"/>
      <c r="M74" s="34"/>
      <c r="N74" s="42"/>
      <c r="O74" s="44"/>
      <c r="P74" s="44"/>
      <c r="Q74" s="118"/>
      <c r="R74" s="122"/>
      <c r="S74" s="122"/>
      <c r="T74" s="123"/>
      <c r="U74" s="123"/>
      <c r="V74" s="34"/>
      <c r="W74" s="34"/>
    </row>
    <row r="75" spans="4:24" x14ac:dyDescent="0.25">
      <c r="I75" s="163"/>
      <c r="J75" s="37"/>
      <c r="K75" s="156"/>
      <c r="L75" s="34"/>
      <c r="M75" s="34"/>
      <c r="N75" s="42"/>
      <c r="O75" s="44"/>
      <c r="P75" s="44"/>
      <c r="Q75" s="118"/>
      <c r="R75" s="122"/>
      <c r="S75" s="122"/>
      <c r="T75" s="123"/>
      <c r="U75" s="123"/>
      <c r="V75" s="34"/>
      <c r="W75" s="34"/>
    </row>
    <row r="76" spans="4:24" x14ac:dyDescent="0.25">
      <c r="I76" s="163"/>
      <c r="J76" s="37"/>
      <c r="K76" s="156"/>
      <c r="L76" s="34"/>
      <c r="M76" s="34"/>
      <c r="N76" s="42"/>
      <c r="O76" s="44"/>
      <c r="P76" s="44"/>
      <c r="Q76" s="118"/>
      <c r="R76" s="122"/>
      <c r="S76" s="122"/>
      <c r="T76" s="123"/>
      <c r="U76" s="123"/>
      <c r="V76" s="34"/>
      <c r="W76" s="34"/>
    </row>
    <row r="77" spans="4:24" x14ac:dyDescent="0.25">
      <c r="I77" s="163"/>
      <c r="J77" s="37"/>
      <c r="K77" s="156"/>
      <c r="L77" s="34"/>
      <c r="M77" s="34"/>
      <c r="N77" s="42"/>
      <c r="O77" s="44"/>
      <c r="P77" s="44"/>
      <c r="Q77" s="118"/>
      <c r="R77" s="122"/>
      <c r="S77" s="122"/>
      <c r="T77" s="123"/>
      <c r="U77" s="123"/>
      <c r="V77" s="34"/>
      <c r="W77" s="34"/>
    </row>
    <row r="78" spans="4:24" x14ac:dyDescent="0.25">
      <c r="I78" s="163"/>
      <c r="J78" s="37"/>
      <c r="K78" s="156"/>
      <c r="L78" s="34"/>
      <c r="M78" s="34"/>
      <c r="N78" s="42"/>
      <c r="O78" s="44"/>
      <c r="P78" s="44"/>
      <c r="Q78" s="118"/>
      <c r="R78" s="122"/>
      <c r="S78" s="122"/>
      <c r="T78" s="123"/>
      <c r="U78" s="123"/>
      <c r="V78" s="34"/>
      <c r="W78" s="34"/>
    </row>
    <row r="79" spans="4:24" x14ac:dyDescent="0.25">
      <c r="I79" s="163"/>
      <c r="J79" s="37"/>
      <c r="K79" s="156"/>
      <c r="L79" s="34"/>
      <c r="M79" s="34"/>
      <c r="N79" s="42"/>
      <c r="O79" s="44"/>
      <c r="P79" s="44"/>
      <c r="Q79" s="118"/>
      <c r="R79" s="122"/>
      <c r="S79" s="122"/>
      <c r="T79" s="123"/>
      <c r="U79" s="123"/>
      <c r="V79" s="34"/>
      <c r="W79" s="34"/>
    </row>
    <row r="80" spans="4:24" x14ac:dyDescent="0.25">
      <c r="D80" s="40"/>
      <c r="E80" s="40"/>
      <c r="F80" s="40"/>
      <c r="G80" s="40"/>
      <c r="H80" s="40"/>
      <c r="I80" s="163"/>
      <c r="J80" s="37"/>
      <c r="K80" s="156"/>
      <c r="L80" s="34"/>
      <c r="M80" s="34"/>
      <c r="N80" s="42"/>
      <c r="O80" s="44"/>
      <c r="P80" s="44"/>
      <c r="Q80" s="118"/>
      <c r="R80" s="122"/>
      <c r="S80" s="122"/>
      <c r="T80" s="123"/>
      <c r="U80" s="123"/>
      <c r="V80" s="34"/>
      <c r="W80" s="34"/>
      <c r="X80" s="40"/>
    </row>
    <row r="81" spans="1:32" x14ac:dyDescent="0.25">
      <c r="I81" s="163"/>
      <c r="J81" s="37"/>
      <c r="K81" s="156"/>
      <c r="L81" s="34"/>
      <c r="M81" s="34"/>
      <c r="N81" s="42"/>
      <c r="O81" s="44"/>
      <c r="P81" s="44"/>
      <c r="Q81" s="118"/>
      <c r="R81" s="122"/>
      <c r="S81" s="122"/>
      <c r="T81" s="123"/>
      <c r="U81" s="123"/>
      <c r="V81" s="34"/>
      <c r="W81" s="34"/>
    </row>
    <row r="82" spans="1:32" x14ac:dyDescent="0.25">
      <c r="I82" s="163"/>
      <c r="J82" s="37"/>
      <c r="K82" s="156"/>
      <c r="L82" s="34"/>
      <c r="M82" s="34"/>
      <c r="N82" s="42"/>
      <c r="O82" s="44"/>
      <c r="P82" s="44"/>
      <c r="Q82" s="118"/>
      <c r="R82" s="122"/>
      <c r="S82" s="122"/>
      <c r="T82" s="123"/>
      <c r="U82" s="123"/>
      <c r="V82" s="34"/>
      <c r="W82" s="34"/>
    </row>
    <row r="83" spans="1:32" x14ac:dyDescent="0.25">
      <c r="I83" s="34"/>
      <c r="J83" s="37"/>
      <c r="K83" s="156"/>
      <c r="L83" s="34"/>
      <c r="M83" s="34"/>
      <c r="N83" s="42"/>
      <c r="O83" s="44"/>
      <c r="P83" s="44"/>
      <c r="Q83" s="118"/>
      <c r="R83" s="122"/>
      <c r="S83" s="122"/>
      <c r="T83" s="123"/>
      <c r="U83" s="123"/>
      <c r="V83" s="34"/>
      <c r="W83" s="34"/>
    </row>
    <row r="84" spans="1:32" x14ac:dyDescent="0.25">
      <c r="I84" s="34"/>
      <c r="J84" s="37"/>
      <c r="K84" s="156"/>
      <c r="L84" s="34"/>
      <c r="M84" s="34"/>
      <c r="N84" s="42"/>
      <c r="O84" s="44"/>
      <c r="P84" s="44"/>
      <c r="Q84" s="118"/>
      <c r="R84" s="122"/>
      <c r="S84" s="122"/>
      <c r="T84" s="123"/>
      <c r="U84" s="123"/>
      <c r="V84" s="34"/>
      <c r="W84" s="34"/>
    </row>
    <row r="85" spans="1:32" x14ac:dyDescent="0.25"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</row>
    <row r="86" spans="1:32" x14ac:dyDescent="0.25">
      <c r="A86" s="40"/>
      <c r="B86" s="40"/>
      <c r="C86" s="40"/>
      <c r="D86" s="40"/>
      <c r="E86" s="40"/>
      <c r="F86" s="40"/>
      <c r="G86" s="40"/>
      <c r="H86" s="40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40"/>
      <c r="Y86" s="40"/>
      <c r="Z86" s="40"/>
      <c r="AA86" s="40"/>
      <c r="AB86" s="40"/>
      <c r="AC86" s="40"/>
      <c r="AD86" s="40"/>
      <c r="AE86" s="40"/>
      <c r="AF86" s="40"/>
    </row>
    <row r="87" spans="1:32" x14ac:dyDescent="0.25"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</row>
    <row r="88" spans="1:32" x14ac:dyDescent="0.25">
      <c r="I88" s="169"/>
      <c r="J88" s="43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34"/>
      <c r="W88" s="34"/>
    </row>
    <row r="89" spans="1:32" x14ac:dyDescent="0.25">
      <c r="I89" s="163"/>
      <c r="J89" s="37"/>
      <c r="K89" s="156"/>
      <c r="L89" s="34"/>
      <c r="M89" s="34"/>
      <c r="N89" s="42"/>
      <c r="O89" s="44"/>
      <c r="P89" s="44"/>
      <c r="Q89" s="118"/>
      <c r="R89" s="122"/>
      <c r="S89" s="122"/>
      <c r="T89" s="123"/>
      <c r="U89" s="123"/>
      <c r="V89" s="34"/>
      <c r="W89" s="34"/>
    </row>
    <row r="90" spans="1:32" x14ac:dyDescent="0.25">
      <c r="I90" s="163"/>
      <c r="J90" s="37"/>
      <c r="K90" s="156"/>
      <c r="L90" s="34"/>
      <c r="M90" s="34"/>
      <c r="N90" s="42"/>
      <c r="O90" s="44"/>
      <c r="P90" s="44"/>
      <c r="Q90" s="118"/>
      <c r="R90" s="122"/>
      <c r="S90" s="122"/>
      <c r="T90" s="123"/>
      <c r="U90" s="123"/>
      <c r="V90" s="34"/>
      <c r="W90" s="34"/>
    </row>
    <row r="91" spans="1:32" x14ac:dyDescent="0.25">
      <c r="I91" s="163"/>
      <c r="J91" s="37"/>
      <c r="K91" s="156"/>
      <c r="L91" s="34"/>
      <c r="M91" s="34"/>
      <c r="N91" s="42"/>
      <c r="O91" s="44"/>
      <c r="P91" s="44"/>
      <c r="Q91" s="118"/>
      <c r="R91" s="122"/>
      <c r="S91" s="122"/>
      <c r="T91" s="123"/>
      <c r="U91" s="123"/>
      <c r="V91" s="34"/>
      <c r="W91" s="34"/>
    </row>
    <row r="92" spans="1:32" x14ac:dyDescent="0.25">
      <c r="I92" s="163"/>
      <c r="J92" s="37"/>
      <c r="K92" s="156"/>
      <c r="L92" s="34"/>
      <c r="M92" s="34"/>
      <c r="N92" s="42"/>
      <c r="O92" s="44"/>
      <c r="P92" s="44"/>
      <c r="Q92" s="118"/>
      <c r="R92" s="122"/>
      <c r="S92" s="122"/>
      <c r="T92" s="123"/>
      <c r="U92" s="123"/>
      <c r="V92" s="34"/>
      <c r="W92" s="34"/>
    </row>
    <row r="93" spans="1:32" x14ac:dyDescent="0.25">
      <c r="I93" s="163"/>
      <c r="J93" s="37"/>
      <c r="K93" s="156"/>
      <c r="L93" s="34"/>
      <c r="M93" s="34"/>
      <c r="N93" s="42"/>
      <c r="O93" s="44"/>
      <c r="P93" s="44"/>
      <c r="Q93" s="118"/>
      <c r="R93" s="122"/>
      <c r="S93" s="122"/>
      <c r="T93" s="123"/>
      <c r="U93" s="123"/>
      <c r="V93" s="34"/>
      <c r="W93" s="34"/>
    </row>
    <row r="94" spans="1:32" x14ac:dyDescent="0.25">
      <c r="I94" s="163"/>
      <c r="J94" s="37"/>
      <c r="K94" s="156"/>
      <c r="L94" s="34"/>
      <c r="M94" s="34"/>
      <c r="N94" s="42"/>
      <c r="O94" s="44"/>
      <c r="P94" s="44"/>
      <c r="Q94" s="118"/>
      <c r="R94" s="122"/>
      <c r="S94" s="122"/>
      <c r="T94" s="123"/>
      <c r="U94" s="123"/>
      <c r="V94" s="34"/>
      <c r="W94" s="34"/>
    </row>
    <row r="95" spans="1:32" x14ac:dyDescent="0.25">
      <c r="I95" s="163"/>
      <c r="J95" s="34"/>
      <c r="K95" s="156"/>
      <c r="L95" s="34"/>
      <c r="M95" s="34"/>
      <c r="N95" s="42"/>
      <c r="O95" s="44"/>
      <c r="P95" s="44"/>
      <c r="Q95" s="118"/>
      <c r="R95" s="122"/>
      <c r="S95" s="122"/>
      <c r="T95" s="123"/>
      <c r="U95" s="123"/>
      <c r="V95" s="34"/>
      <c r="W95" s="34"/>
    </row>
    <row r="96" spans="1:32" x14ac:dyDescent="0.25">
      <c r="I96" s="163"/>
      <c r="J96" s="37"/>
      <c r="K96" s="156"/>
      <c r="L96" s="34"/>
      <c r="M96" s="34"/>
      <c r="N96" s="42"/>
      <c r="O96" s="44"/>
      <c r="P96" s="44"/>
      <c r="Q96" s="118"/>
      <c r="R96" s="122"/>
      <c r="S96" s="122"/>
      <c r="T96" s="123"/>
      <c r="U96" s="123"/>
      <c r="V96" s="34"/>
      <c r="W96" s="34"/>
    </row>
    <row r="97" spans="9:23" x14ac:dyDescent="0.25">
      <c r="I97" s="163"/>
      <c r="J97" s="37"/>
      <c r="K97" s="156"/>
      <c r="L97" s="34"/>
      <c r="M97" s="34"/>
      <c r="N97" s="42"/>
      <c r="O97" s="44"/>
      <c r="P97" s="44"/>
      <c r="Q97" s="118"/>
      <c r="R97" s="122"/>
      <c r="S97" s="122"/>
      <c r="T97" s="123"/>
      <c r="U97" s="123"/>
      <c r="V97" s="34"/>
      <c r="W97" s="34"/>
    </row>
    <row r="98" spans="9:23" x14ac:dyDescent="0.25">
      <c r="I98" s="163"/>
      <c r="J98" s="37"/>
      <c r="K98" s="156"/>
      <c r="L98" s="34"/>
      <c r="M98" s="34"/>
      <c r="N98" s="42"/>
      <c r="O98" s="44"/>
      <c r="P98" s="44"/>
      <c r="Q98" s="118"/>
      <c r="R98" s="122"/>
      <c r="S98" s="122"/>
      <c r="T98" s="123"/>
      <c r="U98" s="123"/>
      <c r="V98" s="34"/>
      <c r="W98" s="34"/>
    </row>
    <row r="99" spans="9:23" x14ac:dyDescent="0.25">
      <c r="I99" s="163"/>
      <c r="J99" s="37"/>
      <c r="K99" s="156"/>
      <c r="L99" s="34"/>
      <c r="M99" s="34"/>
      <c r="N99" s="42"/>
      <c r="O99" s="44"/>
      <c r="P99" s="44"/>
      <c r="Q99" s="118"/>
      <c r="R99" s="122"/>
      <c r="S99" s="122"/>
      <c r="T99" s="123"/>
      <c r="U99" s="123"/>
      <c r="V99" s="34"/>
      <c r="W99" s="34"/>
    </row>
    <row r="100" spans="9:23" x14ac:dyDescent="0.25">
      <c r="I100" s="163"/>
      <c r="J100" s="37"/>
      <c r="K100" s="156"/>
      <c r="L100" s="34"/>
      <c r="M100" s="34"/>
      <c r="N100" s="42"/>
      <c r="O100" s="44"/>
      <c r="P100" s="44"/>
      <c r="Q100" s="118"/>
      <c r="R100" s="122"/>
      <c r="S100" s="122"/>
      <c r="T100" s="123"/>
      <c r="U100" s="123"/>
      <c r="V100" s="34"/>
      <c r="W100" s="34"/>
    </row>
    <row r="101" spans="9:23" x14ac:dyDescent="0.25">
      <c r="I101" s="163"/>
      <c r="J101" s="37"/>
      <c r="K101" s="156"/>
      <c r="L101" s="34"/>
      <c r="M101" s="34"/>
      <c r="N101" s="42"/>
      <c r="O101" s="44"/>
      <c r="P101" s="44"/>
      <c r="Q101" s="118"/>
      <c r="R101" s="122"/>
      <c r="S101" s="122"/>
      <c r="T101" s="123"/>
      <c r="U101" s="123"/>
      <c r="V101" s="34"/>
      <c r="W101" s="34"/>
    </row>
    <row r="102" spans="9:23" x14ac:dyDescent="0.25">
      <c r="I102" s="163"/>
      <c r="J102" s="37"/>
      <c r="K102" s="156"/>
      <c r="L102" s="34"/>
      <c r="M102" s="34"/>
      <c r="N102" s="42"/>
      <c r="O102" s="44"/>
      <c r="P102" s="44"/>
      <c r="Q102" s="118"/>
      <c r="R102" s="122"/>
      <c r="S102" s="122"/>
      <c r="T102" s="123"/>
      <c r="U102" s="123"/>
      <c r="V102" s="34"/>
      <c r="W102" s="34"/>
    </row>
    <row r="103" spans="9:23" x14ac:dyDescent="0.25">
      <c r="I103" s="163"/>
      <c r="J103" s="37"/>
      <c r="K103" s="156"/>
      <c r="L103" s="34"/>
      <c r="M103" s="34"/>
      <c r="N103" s="42"/>
      <c r="O103" s="44"/>
      <c r="P103" s="44"/>
      <c r="Q103" s="118"/>
      <c r="R103" s="122"/>
      <c r="S103" s="122"/>
      <c r="T103" s="123"/>
      <c r="U103" s="123"/>
      <c r="V103" s="34"/>
      <c r="W103" s="34"/>
    </row>
    <row r="104" spans="9:23" x14ac:dyDescent="0.25">
      <c r="I104" s="163"/>
      <c r="J104" s="37"/>
      <c r="K104" s="156"/>
      <c r="L104" s="34"/>
      <c r="M104" s="34"/>
      <c r="N104" s="42"/>
      <c r="O104" s="44"/>
      <c r="P104" s="44"/>
      <c r="Q104" s="118"/>
      <c r="R104" s="122"/>
      <c r="S104" s="122"/>
      <c r="T104" s="123"/>
      <c r="U104" s="123"/>
      <c r="V104" s="34"/>
      <c r="W104" s="34"/>
    </row>
    <row r="105" spans="9:23" x14ac:dyDescent="0.25">
      <c r="I105" s="163"/>
      <c r="J105" s="37"/>
      <c r="K105" s="156"/>
      <c r="L105" s="34"/>
      <c r="M105" s="34"/>
      <c r="N105" s="42"/>
      <c r="O105" s="44"/>
      <c r="P105" s="44"/>
      <c r="Q105" s="118"/>
      <c r="R105" s="122"/>
      <c r="S105" s="122"/>
      <c r="T105" s="123"/>
      <c r="U105" s="123"/>
      <c r="V105" s="34"/>
      <c r="W105" s="34"/>
    </row>
    <row r="106" spans="9:23" x14ac:dyDescent="0.25">
      <c r="I106" s="163"/>
      <c r="J106" s="37"/>
      <c r="K106" s="156"/>
      <c r="L106" s="34"/>
      <c r="M106" s="34"/>
      <c r="N106" s="42"/>
      <c r="O106" s="44"/>
      <c r="P106" s="44"/>
      <c r="Q106" s="118"/>
      <c r="R106" s="122"/>
      <c r="S106" s="122"/>
      <c r="T106" s="123"/>
      <c r="U106" s="123"/>
      <c r="V106" s="34"/>
      <c r="W106" s="34"/>
    </row>
    <row r="107" spans="9:23" x14ac:dyDescent="0.25">
      <c r="I107" s="163"/>
      <c r="J107" s="37"/>
      <c r="K107" s="156"/>
      <c r="L107" s="34"/>
      <c r="M107" s="34"/>
      <c r="N107" s="42"/>
      <c r="O107" s="44"/>
      <c r="P107" s="44"/>
      <c r="Q107" s="118"/>
      <c r="R107" s="122"/>
      <c r="S107" s="122"/>
      <c r="T107" s="123"/>
      <c r="U107" s="123"/>
      <c r="V107" s="34"/>
      <c r="W107" s="34"/>
    </row>
    <row r="108" spans="9:23" x14ac:dyDescent="0.25">
      <c r="I108" s="163"/>
      <c r="J108" s="37"/>
      <c r="K108" s="156"/>
      <c r="L108" s="34"/>
      <c r="M108" s="34"/>
      <c r="N108" s="42"/>
      <c r="O108" s="44"/>
      <c r="P108" s="44"/>
      <c r="Q108" s="118"/>
      <c r="R108" s="122"/>
      <c r="S108" s="122"/>
      <c r="T108" s="123"/>
      <c r="U108" s="123"/>
      <c r="V108" s="34"/>
      <c r="W108" s="34"/>
    </row>
    <row r="109" spans="9:23" x14ac:dyDescent="0.25">
      <c r="I109" s="163"/>
      <c r="J109" s="37"/>
      <c r="K109" s="156"/>
      <c r="L109" s="34"/>
      <c r="M109" s="34"/>
      <c r="N109" s="42"/>
      <c r="O109" s="44"/>
      <c r="P109" s="44"/>
      <c r="Q109" s="118"/>
      <c r="R109" s="122"/>
      <c r="S109" s="122"/>
      <c r="T109" s="123"/>
      <c r="U109" s="123"/>
      <c r="V109" s="34"/>
      <c r="W109" s="34"/>
    </row>
    <row r="110" spans="9:23" x14ac:dyDescent="0.25">
      <c r="I110" s="163"/>
      <c r="J110" s="37"/>
      <c r="K110" s="156"/>
      <c r="L110" s="34"/>
      <c r="M110" s="34"/>
      <c r="N110" s="42"/>
      <c r="O110" s="44"/>
      <c r="P110" s="44"/>
      <c r="Q110" s="118"/>
      <c r="R110" s="122"/>
      <c r="S110" s="122"/>
      <c r="T110" s="123"/>
      <c r="U110" s="123"/>
      <c r="V110" s="34"/>
      <c r="W110" s="34"/>
    </row>
    <row r="111" spans="9:23" x14ac:dyDescent="0.25">
      <c r="I111" s="163"/>
      <c r="J111" s="37"/>
      <c r="K111" s="156"/>
      <c r="L111" s="34"/>
      <c r="M111" s="34"/>
      <c r="N111" s="42"/>
      <c r="O111" s="44"/>
      <c r="P111" s="44"/>
      <c r="Q111" s="118"/>
      <c r="R111" s="122"/>
      <c r="S111" s="122"/>
      <c r="T111" s="123"/>
      <c r="U111" s="123"/>
      <c r="V111" s="34"/>
      <c r="W111" s="34"/>
    </row>
    <row r="112" spans="9:23" x14ac:dyDescent="0.25">
      <c r="I112" s="163"/>
      <c r="J112" s="37"/>
      <c r="K112" s="156"/>
      <c r="L112" s="34"/>
      <c r="M112" s="34"/>
      <c r="N112" s="42"/>
      <c r="O112" s="44"/>
      <c r="P112" s="44"/>
      <c r="Q112" s="118"/>
      <c r="R112" s="122"/>
      <c r="S112" s="122"/>
      <c r="T112" s="123"/>
      <c r="U112" s="123"/>
      <c r="V112" s="34"/>
      <c r="W112" s="34"/>
    </row>
    <row r="113" spans="1:27" x14ac:dyDescent="0.25">
      <c r="I113" s="163"/>
      <c r="J113" s="34"/>
      <c r="K113" s="156"/>
      <c r="L113" s="34"/>
      <c r="M113" s="34"/>
      <c r="N113" s="42"/>
      <c r="O113" s="44"/>
      <c r="P113" s="44"/>
      <c r="Q113" s="118"/>
      <c r="R113" s="122"/>
      <c r="S113" s="122"/>
      <c r="T113" s="123"/>
      <c r="U113" s="123"/>
      <c r="V113" s="34"/>
      <c r="W113" s="34"/>
    </row>
    <row r="114" spans="1:27" x14ac:dyDescent="0.25">
      <c r="I114" s="163"/>
      <c r="J114" s="37"/>
      <c r="K114" s="156"/>
      <c r="L114" s="34"/>
      <c r="M114" s="34"/>
      <c r="N114" s="42"/>
      <c r="O114" s="44"/>
      <c r="P114" s="44"/>
      <c r="Q114" s="118"/>
      <c r="R114" s="122"/>
      <c r="S114" s="122"/>
      <c r="T114" s="123"/>
      <c r="U114" s="123"/>
      <c r="V114" s="34"/>
      <c r="W114" s="34"/>
    </row>
    <row r="115" spans="1:27" x14ac:dyDescent="0.25">
      <c r="I115" s="163"/>
      <c r="J115" s="37"/>
      <c r="K115" s="156"/>
      <c r="L115" s="34"/>
      <c r="M115" s="34"/>
      <c r="N115" s="42"/>
      <c r="O115" s="44"/>
      <c r="P115" s="44"/>
      <c r="Q115" s="118"/>
      <c r="R115" s="122"/>
      <c r="S115" s="122"/>
      <c r="T115" s="123"/>
      <c r="U115" s="123"/>
      <c r="V115" s="34"/>
      <c r="W115" s="34"/>
    </row>
    <row r="116" spans="1:27" x14ac:dyDescent="0.25">
      <c r="I116" s="163"/>
      <c r="J116" s="37"/>
      <c r="K116" s="156"/>
      <c r="L116" s="34"/>
      <c r="M116" s="34"/>
      <c r="N116" s="42"/>
      <c r="O116" s="44"/>
      <c r="P116" s="44"/>
      <c r="Q116" s="118"/>
      <c r="R116" s="122"/>
      <c r="S116" s="122"/>
      <c r="T116" s="123"/>
      <c r="U116" s="123"/>
      <c r="V116" s="34"/>
      <c r="W116" s="34"/>
    </row>
    <row r="117" spans="1:27" x14ac:dyDescent="0.25">
      <c r="H117" s="40"/>
      <c r="I117" s="163"/>
      <c r="J117" s="37"/>
      <c r="K117" s="156"/>
      <c r="L117" s="34"/>
      <c r="M117" s="34"/>
      <c r="N117" s="42"/>
      <c r="O117" s="44"/>
      <c r="P117" s="44"/>
      <c r="Q117" s="118"/>
      <c r="R117" s="122"/>
      <c r="S117" s="122"/>
      <c r="T117" s="123"/>
      <c r="U117" s="123"/>
      <c r="V117" s="34"/>
      <c r="W117" s="34"/>
      <c r="X117" s="40"/>
      <c r="Y117" s="40"/>
    </row>
    <row r="118" spans="1:27" x14ac:dyDescent="0.25">
      <c r="F118" s="40"/>
      <c r="G118" s="40"/>
      <c r="H118" s="40"/>
      <c r="I118" s="163"/>
      <c r="J118" s="37"/>
      <c r="K118" s="156"/>
      <c r="L118" s="34"/>
      <c r="M118" s="34"/>
      <c r="N118" s="42"/>
      <c r="O118" s="44"/>
      <c r="P118" s="44"/>
      <c r="Q118" s="118"/>
      <c r="R118" s="122"/>
      <c r="S118" s="122"/>
      <c r="T118" s="123"/>
      <c r="U118" s="123"/>
      <c r="V118" s="34"/>
      <c r="W118" s="34"/>
      <c r="X118" s="40"/>
      <c r="Y118" s="40"/>
      <c r="Z118" s="40"/>
      <c r="AA118" s="40"/>
    </row>
    <row r="119" spans="1:27" x14ac:dyDescent="0.25">
      <c r="I119" s="163"/>
      <c r="J119" s="37"/>
      <c r="K119" s="156"/>
      <c r="L119" s="34"/>
      <c r="M119" s="34"/>
      <c r="N119" s="42"/>
      <c r="O119" s="44"/>
      <c r="P119" s="44"/>
      <c r="Q119" s="118"/>
      <c r="R119" s="122"/>
      <c r="S119" s="122"/>
      <c r="T119" s="123"/>
      <c r="U119" s="123"/>
      <c r="V119" s="34"/>
      <c r="W119" s="34"/>
    </row>
    <row r="120" spans="1:27" x14ac:dyDescent="0.25">
      <c r="I120" s="163"/>
      <c r="J120" s="37"/>
      <c r="K120" s="156"/>
      <c r="L120" s="34"/>
      <c r="M120" s="34"/>
      <c r="N120" s="42"/>
      <c r="O120" s="44"/>
      <c r="P120" s="44"/>
      <c r="Q120" s="118"/>
      <c r="R120" s="122"/>
      <c r="S120" s="122"/>
      <c r="T120" s="123"/>
      <c r="U120" s="123"/>
      <c r="V120" s="34"/>
      <c r="W120" s="34"/>
    </row>
    <row r="121" spans="1:27" x14ac:dyDescent="0.25">
      <c r="I121" s="163"/>
      <c r="J121" s="37"/>
      <c r="K121" s="156"/>
      <c r="L121" s="34"/>
      <c r="M121" s="34"/>
      <c r="N121" s="42"/>
      <c r="O121" s="44"/>
      <c r="P121" s="44"/>
      <c r="Q121" s="118"/>
      <c r="R121" s="122"/>
      <c r="S121" s="122"/>
      <c r="T121" s="123"/>
      <c r="U121" s="123"/>
      <c r="V121" s="34"/>
      <c r="W121" s="34"/>
    </row>
    <row r="122" spans="1:27" x14ac:dyDescent="0.25">
      <c r="I122" s="163"/>
      <c r="J122" s="37"/>
      <c r="K122" s="156"/>
      <c r="L122" s="34"/>
      <c r="M122" s="34"/>
      <c r="N122" s="42"/>
      <c r="O122" s="44"/>
      <c r="P122" s="44"/>
      <c r="Q122" s="118"/>
      <c r="R122" s="122"/>
      <c r="S122" s="122"/>
      <c r="T122" s="123"/>
      <c r="U122" s="123"/>
      <c r="V122" s="34"/>
      <c r="W122" s="34"/>
    </row>
    <row r="123" spans="1:27" x14ac:dyDescent="0.25">
      <c r="I123" s="34"/>
      <c r="J123" s="37"/>
      <c r="K123" s="156"/>
      <c r="L123" s="34"/>
      <c r="M123" s="34"/>
      <c r="N123" s="42"/>
      <c r="O123" s="44"/>
      <c r="P123" s="44"/>
      <c r="Q123" s="118"/>
      <c r="R123" s="122"/>
      <c r="S123" s="122"/>
      <c r="T123" s="123"/>
      <c r="U123" s="123"/>
      <c r="V123" s="34"/>
      <c r="W123" s="34"/>
    </row>
    <row r="124" spans="1:27" x14ac:dyDescent="0.25">
      <c r="I124" s="34"/>
      <c r="J124" s="37"/>
      <c r="K124" s="156"/>
      <c r="L124" s="34"/>
      <c r="M124" s="34"/>
      <c r="N124" s="42"/>
      <c r="O124" s="44"/>
      <c r="P124" s="44"/>
      <c r="Q124" s="118"/>
      <c r="R124" s="122"/>
      <c r="S124" s="122"/>
      <c r="T124" s="123"/>
      <c r="U124" s="123"/>
      <c r="V124" s="34"/>
      <c r="W124" s="34"/>
    </row>
    <row r="125" spans="1:27" x14ac:dyDescent="0.25"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</row>
    <row r="126" spans="1:27" x14ac:dyDescent="0.25">
      <c r="A126" s="40"/>
      <c r="B126" s="40"/>
      <c r="C126" s="40"/>
      <c r="D126" s="40"/>
      <c r="E126" s="40"/>
      <c r="F126" s="40"/>
      <c r="G126" s="40"/>
      <c r="H126" s="40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</row>
    <row r="127" spans="1:27" x14ac:dyDescent="0.25"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</row>
    <row r="129" spans="6:25" x14ac:dyDescent="0.25"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</row>
  </sheetData>
  <mergeCells count="2">
    <mergeCell ref="B8:B13"/>
    <mergeCell ref="B14:B19"/>
  </mergeCells>
  <pageMargins left="0.7" right="0.7" top="0.75" bottom="0.75" header="0.3" footer="0.3"/>
  <pageSetup paperSize="9" scale="4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C1:AD34"/>
  <sheetViews>
    <sheetView tabSelected="1" topLeftCell="C1" workbookViewId="0">
      <selection activeCell="E1" sqref="E1"/>
    </sheetView>
  </sheetViews>
  <sheetFormatPr defaultRowHeight="15" x14ac:dyDescent="0.25"/>
  <cols>
    <col min="1" max="2" width="9.140625" style="40"/>
    <col min="3" max="3" width="20.7109375" style="40" bestFit="1" customWidth="1"/>
    <col min="4" max="4" width="17" style="40" customWidth="1"/>
    <col min="5" max="5" width="27" style="40" customWidth="1"/>
    <col min="6" max="6" width="20.5703125" style="40" customWidth="1"/>
    <col min="7" max="7" width="20.28515625" style="40" customWidth="1"/>
    <col min="8" max="8" width="23.85546875" style="40" customWidth="1"/>
    <col min="9" max="9" width="20.140625" style="40" customWidth="1"/>
    <col min="10" max="10" width="20.7109375" style="40" customWidth="1"/>
    <col min="11" max="11" width="22" style="40" customWidth="1"/>
    <col min="12" max="12" width="21.7109375" style="40" customWidth="1"/>
    <col min="13" max="14" width="21.85546875" style="40" bestFit="1" customWidth="1"/>
    <col min="15" max="16384" width="9.140625" style="40"/>
  </cols>
  <sheetData>
    <row r="1" spans="3:30" s="54" customFormat="1" ht="18.75" x14ac:dyDescent="0.3">
      <c r="C1" s="53" t="s">
        <v>112</v>
      </c>
      <c r="E1" s="54" t="s">
        <v>206</v>
      </c>
      <c r="G1" s="53"/>
    </row>
    <row r="2" spans="3:30" x14ac:dyDescent="0.25">
      <c r="C2" s="40" t="s">
        <v>82</v>
      </c>
      <c r="D2" s="40">
        <v>32</v>
      </c>
    </row>
    <row r="3" spans="3:30" x14ac:dyDescent="0.25">
      <c r="C3" s="40" t="s">
        <v>83</v>
      </c>
      <c r="D3" s="40">
        <v>96</v>
      </c>
    </row>
    <row r="4" spans="3:30" x14ac:dyDescent="0.25">
      <c r="C4" s="40" t="s">
        <v>84</v>
      </c>
      <c r="D4" s="40">
        <f>SUM(D2:D3)</f>
        <v>128</v>
      </c>
    </row>
    <row r="6" spans="3:30" x14ac:dyDescent="0.25">
      <c r="C6" s="40" t="s">
        <v>85</v>
      </c>
      <c r="D6" s="40">
        <v>140</v>
      </c>
    </row>
    <row r="8" spans="3:30" x14ac:dyDescent="0.25">
      <c r="C8" s="40" t="s">
        <v>86</v>
      </c>
      <c r="D8" s="40">
        <f>D6*0.2</f>
        <v>28</v>
      </c>
      <c r="E8" s="40" t="s">
        <v>87</v>
      </c>
    </row>
    <row r="9" spans="3:30" x14ac:dyDescent="0.25">
      <c r="C9" s="40" t="s">
        <v>113</v>
      </c>
      <c r="D9" s="40">
        <f>D8/50</f>
        <v>0.56000000000000005</v>
      </c>
      <c r="E9" s="40" t="s">
        <v>87</v>
      </c>
    </row>
    <row r="10" spans="3:30" x14ac:dyDescent="0.25">
      <c r="C10" s="40" t="s">
        <v>114</v>
      </c>
      <c r="D10" s="40">
        <f>D8-D9</f>
        <v>27.44</v>
      </c>
      <c r="E10" s="40" t="s">
        <v>87</v>
      </c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3:30" x14ac:dyDescent="0.25"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spans="3:30" x14ac:dyDescent="0.25">
      <c r="C12" s="40" t="s">
        <v>88</v>
      </c>
      <c r="K12" s="45"/>
      <c r="L12" s="45"/>
      <c r="M12" s="45"/>
      <c r="N12" s="42"/>
      <c r="O12" s="37"/>
      <c r="P12" s="45"/>
      <c r="Q12" s="45"/>
      <c r="R12" s="45"/>
      <c r="S12" s="45"/>
      <c r="T12" s="45"/>
      <c r="U12" s="45"/>
      <c r="V12" s="42"/>
      <c r="W12" s="42"/>
      <c r="X12" s="45"/>
      <c r="Y12" s="34"/>
      <c r="Z12" s="34"/>
      <c r="AA12" s="34"/>
      <c r="AB12" s="34"/>
      <c r="AC12" s="34"/>
      <c r="AD12" s="34"/>
    </row>
    <row r="13" spans="3:30" x14ac:dyDescent="0.25">
      <c r="K13" s="45"/>
      <c r="L13" s="45"/>
      <c r="M13" s="45"/>
      <c r="N13" s="42"/>
      <c r="O13" s="37"/>
      <c r="P13" s="45"/>
      <c r="Q13" s="45"/>
      <c r="R13" s="45"/>
      <c r="S13" s="45"/>
      <c r="T13" s="45"/>
      <c r="U13" s="45"/>
      <c r="V13" s="42"/>
      <c r="W13" s="42"/>
      <c r="X13" s="45"/>
      <c r="Y13" s="34"/>
      <c r="Z13" s="34"/>
      <c r="AA13" s="34"/>
      <c r="AB13" s="34"/>
      <c r="AC13" s="34"/>
      <c r="AD13" s="34"/>
    </row>
    <row r="14" spans="3:30" x14ac:dyDescent="0.25">
      <c r="C14" s="40" t="s">
        <v>152</v>
      </c>
      <c r="H14" s="6" t="s">
        <v>89</v>
      </c>
      <c r="K14" s="45"/>
      <c r="L14" s="45"/>
      <c r="M14" s="45"/>
      <c r="N14" s="42"/>
      <c r="O14" s="37"/>
      <c r="P14" s="45"/>
      <c r="Q14" s="45"/>
      <c r="R14" s="45"/>
      <c r="S14" s="45"/>
      <c r="T14" s="45"/>
      <c r="U14" s="45"/>
      <c r="V14" s="42"/>
      <c r="W14" s="42"/>
      <c r="X14" s="45"/>
      <c r="Y14" s="34"/>
      <c r="Z14" s="34"/>
      <c r="AA14" s="34"/>
      <c r="AB14" s="34"/>
      <c r="AC14" s="34"/>
      <c r="AD14" s="34"/>
    </row>
    <row r="15" spans="3:30" x14ac:dyDescent="0.25">
      <c r="C15" s="40" t="s">
        <v>153</v>
      </c>
      <c r="K15" s="45"/>
      <c r="L15" s="45"/>
      <c r="M15" s="45"/>
      <c r="N15" s="42"/>
      <c r="O15" s="37"/>
      <c r="P15" s="45"/>
      <c r="Q15" s="45"/>
      <c r="R15" s="42"/>
      <c r="S15" s="45"/>
      <c r="T15" s="45"/>
      <c r="U15" s="45"/>
      <c r="V15" s="42"/>
      <c r="W15" s="42"/>
      <c r="X15" s="45"/>
      <c r="Y15" s="34"/>
      <c r="Z15" s="34"/>
      <c r="AA15" s="34"/>
      <c r="AB15" s="34"/>
      <c r="AC15" s="34"/>
      <c r="AD15" s="34"/>
    </row>
    <row r="16" spans="3:30" x14ac:dyDescent="0.25">
      <c r="C16" s="40" t="s">
        <v>154</v>
      </c>
      <c r="K16" s="45"/>
      <c r="L16" s="45"/>
      <c r="M16" s="45"/>
      <c r="N16" s="42"/>
      <c r="O16" s="37"/>
      <c r="P16" s="45"/>
      <c r="Q16" s="45"/>
      <c r="R16" s="42"/>
      <c r="S16" s="45"/>
      <c r="T16" s="45"/>
      <c r="U16" s="45"/>
      <c r="V16" s="42"/>
      <c r="W16" s="37"/>
      <c r="X16" s="45"/>
      <c r="Y16" s="34"/>
      <c r="Z16" s="34"/>
      <c r="AA16" s="34"/>
      <c r="AB16" s="34"/>
      <c r="AC16" s="34"/>
      <c r="AD16" s="34"/>
    </row>
    <row r="17" spans="3:24" x14ac:dyDescent="0.25">
      <c r="C17" s="40" t="s">
        <v>155</v>
      </c>
      <c r="K17" s="45"/>
      <c r="L17" s="45"/>
      <c r="M17" s="45"/>
      <c r="N17" s="42"/>
      <c r="O17" s="37"/>
      <c r="P17" s="37"/>
      <c r="Q17" s="45"/>
      <c r="R17" s="42"/>
      <c r="S17" s="45"/>
      <c r="T17" s="45"/>
      <c r="U17" s="45"/>
      <c r="V17" s="42"/>
      <c r="W17" s="37"/>
      <c r="X17" s="45"/>
    </row>
    <row r="18" spans="3:24" x14ac:dyDescent="0.25">
      <c r="C18" s="40" t="s">
        <v>90</v>
      </c>
      <c r="K18" s="45"/>
      <c r="L18" s="45"/>
      <c r="M18" s="45"/>
      <c r="N18" s="42"/>
      <c r="O18" s="37"/>
      <c r="P18" s="37"/>
      <c r="Q18" s="45"/>
      <c r="R18" s="42"/>
      <c r="S18" s="45"/>
      <c r="T18" s="45"/>
      <c r="U18" s="45"/>
      <c r="V18" s="42"/>
      <c r="W18" s="37"/>
      <c r="X18" s="45"/>
    </row>
    <row r="19" spans="3:24" x14ac:dyDescent="0.25">
      <c r="K19" s="45"/>
      <c r="L19" s="45"/>
      <c r="M19" s="45"/>
      <c r="N19" s="42"/>
      <c r="O19" s="37"/>
      <c r="P19" s="37"/>
      <c r="Q19" s="45"/>
      <c r="R19" s="42"/>
      <c r="S19" s="45"/>
      <c r="T19" s="45"/>
      <c r="U19" s="45"/>
      <c r="V19" s="42"/>
      <c r="W19" s="37"/>
      <c r="X19" s="45"/>
    </row>
    <row r="20" spans="3:24" x14ac:dyDescent="0.25">
      <c r="C20" s="40" t="s">
        <v>91</v>
      </c>
      <c r="K20" s="45"/>
      <c r="L20" s="45"/>
      <c r="M20" s="45"/>
      <c r="N20" s="42"/>
      <c r="O20" s="37"/>
      <c r="P20" s="37"/>
      <c r="Q20" s="45"/>
      <c r="R20" s="42"/>
      <c r="S20" s="45"/>
      <c r="T20" s="45"/>
      <c r="U20" s="45"/>
      <c r="V20" s="42"/>
      <c r="W20" s="37"/>
      <c r="X20" s="45"/>
    </row>
    <row r="21" spans="3:24" x14ac:dyDescent="0.25">
      <c r="C21" s="40" t="s">
        <v>92</v>
      </c>
      <c r="K21" s="55"/>
    </row>
    <row r="22" spans="3:24" x14ac:dyDescent="0.25">
      <c r="K22" s="55"/>
    </row>
    <row r="24" spans="3:24" x14ac:dyDescent="0.25">
      <c r="C24" s="40" t="s">
        <v>93</v>
      </c>
      <c r="D24" s="40" t="s">
        <v>94</v>
      </c>
      <c r="N24" s="116" t="s">
        <v>171</v>
      </c>
    </row>
    <row r="25" spans="3:24" ht="15.75" thickBot="1" x14ac:dyDescent="0.3">
      <c r="C25" s="40">
        <v>1</v>
      </c>
      <c r="D25" s="40">
        <v>2</v>
      </c>
      <c r="E25" s="40">
        <v>3</v>
      </c>
      <c r="F25" s="40">
        <v>4</v>
      </c>
      <c r="G25" s="40">
        <v>5</v>
      </c>
      <c r="H25" s="40">
        <v>6</v>
      </c>
      <c r="I25" s="40">
        <v>7</v>
      </c>
      <c r="J25" s="40">
        <v>8</v>
      </c>
      <c r="K25" s="40">
        <v>9</v>
      </c>
      <c r="L25" s="40">
        <v>10</v>
      </c>
      <c r="M25" s="40">
        <v>11</v>
      </c>
      <c r="N25" s="40">
        <v>12</v>
      </c>
      <c r="Q25" s="43"/>
      <c r="R25" s="19"/>
    </row>
    <row r="26" spans="3:24" x14ac:dyDescent="0.25">
      <c r="C26" s="81" t="s">
        <v>96</v>
      </c>
      <c r="D26" s="94" t="s">
        <v>96</v>
      </c>
      <c r="E26" s="97" t="s">
        <v>203</v>
      </c>
      <c r="F26" s="98" t="s">
        <v>203</v>
      </c>
      <c r="G26" s="101" t="s">
        <v>203</v>
      </c>
      <c r="H26" s="102" t="s">
        <v>203</v>
      </c>
      <c r="I26" s="106" t="s">
        <v>203</v>
      </c>
      <c r="J26" s="107" t="s">
        <v>203</v>
      </c>
      <c r="K26" s="112" t="s">
        <v>203</v>
      </c>
      <c r="L26" s="113" t="s">
        <v>203</v>
      </c>
      <c r="M26" s="135"/>
      <c r="N26" s="136"/>
      <c r="O26" s="40" t="s">
        <v>148</v>
      </c>
      <c r="Q26" s="43"/>
      <c r="R26" s="19"/>
    </row>
    <row r="27" spans="3:24" x14ac:dyDescent="0.25">
      <c r="C27" s="82" t="s">
        <v>98</v>
      </c>
      <c r="D27" s="95" t="s">
        <v>98</v>
      </c>
      <c r="E27" s="99" t="s">
        <v>204</v>
      </c>
      <c r="F27" s="100" t="s">
        <v>204</v>
      </c>
      <c r="G27" s="103" t="s">
        <v>204</v>
      </c>
      <c r="H27" s="104" t="s">
        <v>204</v>
      </c>
      <c r="I27" s="108" t="s">
        <v>204</v>
      </c>
      <c r="J27" s="109" t="s">
        <v>204</v>
      </c>
      <c r="K27" s="114" t="s">
        <v>204</v>
      </c>
      <c r="L27" s="115" t="s">
        <v>204</v>
      </c>
      <c r="M27" s="137"/>
      <c r="N27" s="138"/>
      <c r="O27" s="40" t="s">
        <v>156</v>
      </c>
      <c r="Q27" s="43"/>
      <c r="R27" s="19"/>
    </row>
    <row r="28" spans="3:24" x14ac:dyDescent="0.25">
      <c r="C28" s="82" t="s">
        <v>99</v>
      </c>
      <c r="D28" s="95" t="s">
        <v>99</v>
      </c>
      <c r="E28" s="99" t="s">
        <v>205</v>
      </c>
      <c r="F28" s="100" t="s">
        <v>205</v>
      </c>
      <c r="G28" s="103" t="s">
        <v>205</v>
      </c>
      <c r="H28" s="104" t="s">
        <v>205</v>
      </c>
      <c r="I28" s="108" t="s">
        <v>205</v>
      </c>
      <c r="J28" s="109" t="s">
        <v>205</v>
      </c>
      <c r="K28" s="114" t="s">
        <v>205</v>
      </c>
      <c r="L28" s="115" t="s">
        <v>205</v>
      </c>
      <c r="M28" s="137"/>
      <c r="N28" s="138"/>
      <c r="O28" s="40" t="s">
        <v>157</v>
      </c>
      <c r="R28" s="19"/>
    </row>
    <row r="29" spans="3:24" x14ac:dyDescent="0.25">
      <c r="C29" s="82" t="s">
        <v>100</v>
      </c>
      <c r="D29" s="95" t="s">
        <v>100</v>
      </c>
      <c r="E29" s="99" t="s">
        <v>138</v>
      </c>
      <c r="F29" s="100" t="s">
        <v>138</v>
      </c>
      <c r="G29" s="103" t="s">
        <v>138</v>
      </c>
      <c r="H29" s="104" t="s">
        <v>138</v>
      </c>
      <c r="I29" s="108" t="s">
        <v>138</v>
      </c>
      <c r="J29" s="109" t="s">
        <v>138</v>
      </c>
      <c r="K29" s="114" t="s">
        <v>138</v>
      </c>
      <c r="L29" s="115" t="s">
        <v>138</v>
      </c>
      <c r="M29" s="137"/>
      <c r="N29" s="138"/>
      <c r="O29" s="42" t="s">
        <v>158</v>
      </c>
    </row>
    <row r="30" spans="3:24" x14ac:dyDescent="0.25">
      <c r="C30" s="82" t="s">
        <v>101</v>
      </c>
      <c r="D30" s="95" t="s">
        <v>101</v>
      </c>
      <c r="E30" s="99" t="s">
        <v>139</v>
      </c>
      <c r="F30" s="100" t="s">
        <v>139</v>
      </c>
      <c r="G30" s="103" t="s">
        <v>139</v>
      </c>
      <c r="H30" s="104" t="s">
        <v>139</v>
      </c>
      <c r="I30" s="108" t="s">
        <v>139</v>
      </c>
      <c r="J30" s="109" t="s">
        <v>139</v>
      </c>
      <c r="K30" s="114" t="s">
        <v>139</v>
      </c>
      <c r="L30" s="115" t="s">
        <v>139</v>
      </c>
      <c r="M30" s="110"/>
      <c r="N30" s="83"/>
    </row>
    <row r="31" spans="3:24" x14ac:dyDescent="0.25">
      <c r="C31" s="82" t="s">
        <v>102</v>
      </c>
      <c r="D31" s="95" t="s">
        <v>102</v>
      </c>
      <c r="E31" s="99" t="s">
        <v>140</v>
      </c>
      <c r="F31" s="100" t="s">
        <v>140</v>
      </c>
      <c r="G31" s="103" t="s">
        <v>140</v>
      </c>
      <c r="H31" s="104" t="s">
        <v>140</v>
      </c>
      <c r="I31" s="108" t="s">
        <v>140</v>
      </c>
      <c r="J31" s="109" t="s">
        <v>140</v>
      </c>
      <c r="K31" s="114" t="s">
        <v>140</v>
      </c>
      <c r="L31" s="115" t="s">
        <v>140</v>
      </c>
      <c r="M31" s="110"/>
      <c r="N31" s="83"/>
    </row>
    <row r="32" spans="3:24" x14ac:dyDescent="0.25">
      <c r="C32" s="82" t="s">
        <v>103</v>
      </c>
      <c r="D32" s="95" t="s">
        <v>103</v>
      </c>
      <c r="E32" s="140"/>
      <c r="F32" s="190"/>
      <c r="G32" s="140"/>
      <c r="H32" s="190"/>
      <c r="I32" s="140"/>
      <c r="J32" s="190"/>
      <c r="K32" s="140"/>
      <c r="L32" s="190"/>
      <c r="M32" s="110"/>
      <c r="N32" s="83"/>
    </row>
    <row r="33" spans="3:14" ht="15.75" thickBot="1" x14ac:dyDescent="0.3">
      <c r="C33" s="84" t="s">
        <v>104</v>
      </c>
      <c r="D33" s="96" t="s">
        <v>104</v>
      </c>
      <c r="E33" s="141"/>
      <c r="F33" s="191"/>
      <c r="G33" s="141"/>
      <c r="H33" s="191"/>
      <c r="I33" s="141"/>
      <c r="J33" s="191"/>
      <c r="K33" s="141"/>
      <c r="L33" s="191"/>
      <c r="M33" s="111"/>
      <c r="N33" s="85"/>
    </row>
    <row r="34" spans="3:14" x14ac:dyDescent="0.25">
      <c r="C34" s="56"/>
      <c r="D34" s="56"/>
      <c r="E34" s="177" t="s">
        <v>148</v>
      </c>
      <c r="F34" s="178"/>
      <c r="G34" s="179" t="s">
        <v>149</v>
      </c>
      <c r="H34" s="180"/>
      <c r="I34" s="177" t="s">
        <v>150</v>
      </c>
      <c r="J34" s="178"/>
      <c r="K34" s="179" t="s">
        <v>151</v>
      </c>
      <c r="L34" s="180"/>
      <c r="M34" s="56"/>
      <c r="N34" s="56"/>
    </row>
  </sheetData>
  <mergeCells count="4">
    <mergeCell ref="E34:F34"/>
    <mergeCell ref="G34:H34"/>
    <mergeCell ref="I34:J34"/>
    <mergeCell ref="K34:L34"/>
  </mergeCells>
  <pageMargins left="0.7" right="0.7" top="0.75" bottom="0.75" header="0.3" footer="0.3"/>
  <pageSetup paperSize="9" scale="3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102"/>
  <sheetViews>
    <sheetView workbookViewId="0"/>
  </sheetViews>
  <sheetFormatPr defaultRowHeight="15" x14ac:dyDescent="0.25"/>
  <cols>
    <col min="1" max="1" width="10.42578125" style="40" customWidth="1"/>
    <col min="2" max="2" width="30" style="40" bestFit="1" customWidth="1"/>
    <col min="3" max="3" width="10.5703125" style="40" bestFit="1" customWidth="1"/>
    <col min="4" max="4" width="9.140625" style="40"/>
    <col min="5" max="5" width="15.85546875" style="40" bestFit="1" customWidth="1"/>
    <col min="6" max="8" width="9.140625" style="40"/>
    <col min="9" max="9" width="26.5703125" style="40" bestFit="1" customWidth="1"/>
    <col min="10" max="15" width="9.140625" style="40"/>
    <col min="16" max="16" width="9.7109375" style="40" customWidth="1"/>
    <col min="17" max="17" width="9.140625" style="40"/>
    <col min="18" max="18" width="30" style="40" bestFit="1" customWidth="1"/>
    <col min="19" max="24" width="9.140625" style="40"/>
    <col min="25" max="25" width="16.42578125" style="40" bestFit="1" customWidth="1"/>
    <col min="26" max="33" width="9.140625" style="40"/>
    <col min="34" max="34" width="30" style="40" bestFit="1" customWidth="1"/>
    <col min="35" max="40" width="9.140625" style="40"/>
    <col min="41" max="41" width="16.42578125" style="40" bestFit="1" customWidth="1"/>
    <col min="42" max="16384" width="9.140625" style="40"/>
  </cols>
  <sheetData>
    <row r="1" spans="1:43" x14ac:dyDescent="0.25">
      <c r="A1" s="57" t="s">
        <v>174</v>
      </c>
      <c r="B1" s="57"/>
      <c r="P1" s="57" t="s">
        <v>159</v>
      </c>
      <c r="Q1" s="57"/>
      <c r="AF1" s="57" t="s">
        <v>160</v>
      </c>
      <c r="AG1" s="57"/>
    </row>
    <row r="2" spans="1:43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4"/>
      <c r="P2" s="62"/>
      <c r="Q2" s="63"/>
      <c r="R2" s="63"/>
      <c r="S2" s="63"/>
      <c r="T2" s="133"/>
      <c r="U2" s="63"/>
      <c r="V2" s="63"/>
      <c r="W2" s="63"/>
      <c r="X2" s="63"/>
      <c r="Y2" s="63"/>
      <c r="Z2" s="63"/>
      <c r="AA2" s="64"/>
      <c r="AF2" s="62"/>
      <c r="AG2" s="63"/>
      <c r="AH2" s="63"/>
      <c r="AI2" s="63"/>
      <c r="AJ2" s="63"/>
      <c r="AK2" s="63"/>
      <c r="AL2" s="63"/>
      <c r="AM2" s="63"/>
      <c r="AN2" s="133"/>
      <c r="AO2" s="133"/>
      <c r="AP2" s="63"/>
      <c r="AQ2" s="64"/>
    </row>
    <row r="3" spans="1:43" x14ac:dyDescent="0.25">
      <c r="A3" s="65"/>
      <c r="B3" s="50"/>
      <c r="C3" s="50"/>
      <c r="D3" s="50"/>
      <c r="E3" s="50"/>
      <c r="F3" s="50"/>
      <c r="G3" s="50"/>
      <c r="H3" s="50"/>
      <c r="I3" s="50"/>
      <c r="J3" s="50"/>
      <c r="K3" s="50"/>
      <c r="L3" s="66"/>
      <c r="P3" s="65"/>
      <c r="Q3" s="50"/>
      <c r="R3" s="50"/>
      <c r="S3" s="50"/>
      <c r="T3" s="50"/>
      <c r="U3" s="50"/>
      <c r="V3" s="50"/>
      <c r="W3" s="50"/>
      <c r="X3" s="50"/>
      <c r="Y3" s="50"/>
      <c r="Z3" s="50"/>
      <c r="AA3" s="66"/>
      <c r="AF3" s="65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66"/>
    </row>
    <row r="4" spans="1:43" x14ac:dyDescent="0.25">
      <c r="A4" s="65"/>
      <c r="B4" s="50"/>
      <c r="C4" s="50"/>
      <c r="D4" s="50"/>
      <c r="E4" s="50"/>
      <c r="F4" s="50"/>
      <c r="G4" s="50"/>
      <c r="H4" s="50"/>
      <c r="I4" s="50"/>
      <c r="J4" s="50"/>
      <c r="K4" s="50"/>
      <c r="L4" s="66"/>
      <c r="P4" s="65"/>
      <c r="Q4" s="50"/>
      <c r="R4" s="50"/>
      <c r="S4" s="50"/>
      <c r="T4" s="50"/>
      <c r="U4" s="50"/>
      <c r="V4" s="50"/>
      <c r="W4" s="50"/>
      <c r="X4" s="50"/>
      <c r="Y4" s="50"/>
      <c r="Z4" s="50"/>
      <c r="AA4" s="66"/>
      <c r="AF4" s="65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66"/>
    </row>
    <row r="5" spans="1:43" x14ac:dyDescent="0.25">
      <c r="A5" s="65"/>
      <c r="B5" s="50"/>
      <c r="C5" s="50"/>
      <c r="D5" s="50"/>
      <c r="E5" s="50"/>
      <c r="F5" s="50"/>
      <c r="G5" s="50"/>
      <c r="H5" s="50"/>
      <c r="I5" s="50"/>
      <c r="J5" s="50"/>
      <c r="K5" s="50"/>
      <c r="L5" s="66"/>
      <c r="P5" s="65"/>
      <c r="Q5" s="50"/>
      <c r="R5" s="50"/>
      <c r="S5" s="50"/>
      <c r="T5" s="134"/>
      <c r="U5" s="50"/>
      <c r="V5" s="50"/>
      <c r="W5" s="50"/>
      <c r="X5" s="50"/>
      <c r="Y5" s="50"/>
      <c r="Z5" s="50"/>
      <c r="AA5" s="66"/>
      <c r="AF5" s="65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66"/>
    </row>
    <row r="6" spans="1:43" x14ac:dyDescent="0.25">
      <c r="A6" s="65"/>
      <c r="B6" s="50"/>
      <c r="C6" s="50"/>
      <c r="D6" s="50"/>
      <c r="E6" s="50"/>
      <c r="F6" s="50"/>
      <c r="G6" s="50"/>
      <c r="H6" s="50"/>
      <c r="I6" s="50"/>
      <c r="J6" s="50"/>
      <c r="K6" s="50"/>
      <c r="L6" s="66"/>
      <c r="P6" s="65"/>
      <c r="Q6" s="50"/>
      <c r="R6" s="50"/>
      <c r="S6" s="50"/>
      <c r="T6" s="50"/>
      <c r="U6" s="50"/>
      <c r="V6" s="50"/>
      <c r="W6" s="50"/>
      <c r="X6" s="50"/>
      <c r="Y6" s="50"/>
      <c r="Z6" s="50"/>
      <c r="AA6" s="66"/>
      <c r="AF6" s="65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66"/>
    </row>
    <row r="7" spans="1:43" x14ac:dyDescent="0.25">
      <c r="A7" s="65"/>
      <c r="B7" s="50"/>
      <c r="C7" s="50"/>
      <c r="D7" s="50"/>
      <c r="E7" s="50"/>
      <c r="F7" s="50"/>
      <c r="G7" s="50"/>
      <c r="H7" s="50"/>
      <c r="I7" s="50"/>
      <c r="J7" s="50"/>
      <c r="K7" s="50"/>
      <c r="L7" s="66"/>
      <c r="P7" s="65"/>
      <c r="Q7" s="50"/>
      <c r="R7" s="50"/>
      <c r="S7" s="50"/>
      <c r="T7" s="134"/>
      <c r="U7" s="50"/>
      <c r="V7" s="134"/>
      <c r="W7" s="50"/>
      <c r="X7" s="50"/>
      <c r="Y7" s="50"/>
      <c r="Z7" s="50"/>
      <c r="AA7" s="66"/>
      <c r="AF7" s="65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66"/>
    </row>
    <row r="8" spans="1:43" x14ac:dyDescent="0.25">
      <c r="A8" s="65"/>
      <c r="B8" s="50"/>
      <c r="C8" s="50"/>
      <c r="D8" s="50"/>
      <c r="E8" s="50"/>
      <c r="F8" s="50"/>
      <c r="G8" s="50"/>
      <c r="H8" s="50"/>
      <c r="I8" s="50"/>
      <c r="J8" s="50"/>
      <c r="K8" s="50"/>
      <c r="L8" s="66"/>
      <c r="P8" s="65"/>
      <c r="Q8" s="50"/>
      <c r="R8" s="50"/>
      <c r="S8" s="50"/>
      <c r="T8" s="50"/>
      <c r="U8" s="50"/>
      <c r="V8" s="50"/>
      <c r="W8" s="50"/>
      <c r="X8" s="50"/>
      <c r="Y8" s="50"/>
      <c r="Z8" s="50"/>
      <c r="AA8" s="66"/>
      <c r="AF8" s="65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66"/>
    </row>
    <row r="9" spans="1:43" x14ac:dyDescent="0.25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  <c r="P9" s="67"/>
      <c r="Q9" s="68"/>
      <c r="R9" s="68"/>
      <c r="S9" s="68"/>
      <c r="T9" s="68"/>
      <c r="U9" s="68"/>
      <c r="V9" s="68"/>
      <c r="W9" s="68"/>
      <c r="X9" s="68"/>
      <c r="Y9" s="68"/>
      <c r="Z9" s="68"/>
      <c r="AA9" s="69"/>
      <c r="AF9" s="67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9"/>
    </row>
    <row r="10" spans="1:43" x14ac:dyDescent="0.2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</row>
    <row r="11" spans="1:43" x14ac:dyDescent="0.25">
      <c r="A11" s="57" t="s">
        <v>175</v>
      </c>
      <c r="B11" s="57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</row>
    <row r="12" spans="1:43" x14ac:dyDescent="0.25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</row>
    <row r="13" spans="1:43" x14ac:dyDescent="0.25">
      <c r="A13" s="65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66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</row>
    <row r="14" spans="1:43" x14ac:dyDescent="0.25">
      <c r="A14" s="65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66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</row>
    <row r="15" spans="1:43" x14ac:dyDescent="0.25">
      <c r="A15" s="65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66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</row>
    <row r="16" spans="1:43" x14ac:dyDescent="0.25">
      <c r="A16" s="65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66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</row>
    <row r="17" spans="1:47" x14ac:dyDescent="0.25">
      <c r="A17" s="65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66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</row>
    <row r="18" spans="1:47" x14ac:dyDescent="0.25">
      <c r="A18" s="65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66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</row>
    <row r="19" spans="1:47" x14ac:dyDescent="0.25">
      <c r="A19" s="67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9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</row>
    <row r="21" spans="1:47" x14ac:dyDescent="0.25">
      <c r="A21" s="57" t="s">
        <v>176</v>
      </c>
      <c r="B21" s="57"/>
      <c r="D21" s="41"/>
      <c r="E21" s="41"/>
      <c r="F21" s="129" t="s">
        <v>118</v>
      </c>
      <c r="G21" s="58"/>
      <c r="O21" s="42"/>
      <c r="P21" s="42"/>
      <c r="AF21" s="42"/>
    </row>
    <row r="22" spans="1:47" x14ac:dyDescent="0.25">
      <c r="A22" s="40" t="s">
        <v>106</v>
      </c>
      <c r="B22" s="40" t="s">
        <v>95</v>
      </c>
      <c r="C22" s="40" t="s">
        <v>97</v>
      </c>
      <c r="D22" s="41" t="s">
        <v>107</v>
      </c>
      <c r="E22" s="41" t="s">
        <v>108</v>
      </c>
      <c r="F22" s="41"/>
      <c r="O22" s="42"/>
      <c r="P22" s="42"/>
      <c r="Q22" s="57" t="s">
        <v>105</v>
      </c>
      <c r="R22" s="57"/>
      <c r="V22" s="70" t="s">
        <v>118</v>
      </c>
      <c r="W22" s="58"/>
      <c r="AE22" s="42"/>
      <c r="AF22" s="42"/>
      <c r="AG22" s="57" t="s">
        <v>105</v>
      </c>
      <c r="AH22" s="57"/>
      <c r="AL22" s="70" t="s">
        <v>118</v>
      </c>
      <c r="AM22" s="58"/>
      <c r="AU22" s="42"/>
    </row>
    <row r="23" spans="1:47" x14ac:dyDescent="0.25">
      <c r="A23" s="41">
        <v>2</v>
      </c>
      <c r="B23" s="62"/>
      <c r="C23" s="63"/>
      <c r="D23" s="41" t="e">
        <f t="shared" ref="D23:D30" si="0">AVERAGE(B23:C23)</f>
        <v>#DIV/0!</v>
      </c>
      <c r="E23" s="41"/>
      <c r="F23" s="41"/>
      <c r="O23" s="42"/>
      <c r="P23" s="42"/>
      <c r="Q23" s="40" t="s">
        <v>106</v>
      </c>
      <c r="R23" s="40" t="s">
        <v>95</v>
      </c>
      <c r="S23" s="40" t="s">
        <v>97</v>
      </c>
      <c r="T23" s="40" t="s">
        <v>107</v>
      </c>
      <c r="U23" s="40" t="s">
        <v>108</v>
      </c>
      <c r="AE23" s="42"/>
      <c r="AF23" s="42"/>
      <c r="AG23" s="40" t="s">
        <v>106</v>
      </c>
      <c r="AH23" s="40" t="s">
        <v>95</v>
      </c>
      <c r="AI23" s="40" t="s">
        <v>97</v>
      </c>
      <c r="AJ23" s="40" t="s">
        <v>107</v>
      </c>
      <c r="AK23" s="40" t="s">
        <v>108</v>
      </c>
      <c r="AU23" s="42"/>
    </row>
    <row r="24" spans="1:47" x14ac:dyDescent="0.25">
      <c r="A24" s="41">
        <v>1.5</v>
      </c>
      <c r="B24" s="65"/>
      <c r="C24" s="50"/>
      <c r="D24" s="41" t="e">
        <f t="shared" si="0"/>
        <v>#DIV/0!</v>
      </c>
      <c r="E24" s="41" t="e">
        <f t="shared" ref="E24:E29" si="1">(D24-$G$35)/$G$34</f>
        <v>#DIV/0!</v>
      </c>
      <c r="F24" s="41" t="e">
        <f>(D24-$D$30)/$G$34</f>
        <v>#DIV/0!</v>
      </c>
      <c r="O24" s="42"/>
      <c r="P24" s="42"/>
      <c r="Q24" s="58">
        <v>2</v>
      </c>
      <c r="R24" s="62"/>
      <c r="S24" s="63"/>
      <c r="T24" s="58" t="e">
        <f t="shared" ref="T24:T31" si="2">AVERAGE(R24:S24)</f>
        <v>#DIV/0!</v>
      </c>
      <c r="AE24" s="42"/>
      <c r="AF24" s="42"/>
      <c r="AG24" s="58">
        <v>2</v>
      </c>
      <c r="AH24" s="62"/>
      <c r="AI24" s="63"/>
      <c r="AJ24" s="58" t="e">
        <f t="shared" ref="AJ24:AJ31" si="3">AVERAGE(AH24:AI24)</f>
        <v>#DIV/0!</v>
      </c>
      <c r="AU24" s="42"/>
    </row>
    <row r="25" spans="1:47" x14ac:dyDescent="0.25">
      <c r="A25" s="40">
        <v>1</v>
      </c>
      <c r="B25" s="65"/>
      <c r="C25" s="50"/>
      <c r="D25" s="40" t="e">
        <f t="shared" si="0"/>
        <v>#DIV/0!</v>
      </c>
      <c r="E25" s="40" t="e">
        <f t="shared" si="1"/>
        <v>#DIV/0!</v>
      </c>
      <c r="F25" s="40" t="e">
        <f t="shared" ref="F25:F29" si="4">(D25-$D$30)/$G$34</f>
        <v>#DIV/0!</v>
      </c>
      <c r="O25" s="42"/>
      <c r="P25" s="42"/>
      <c r="Q25" s="58">
        <v>1.5</v>
      </c>
      <c r="R25" s="65"/>
      <c r="S25" s="50"/>
      <c r="T25" s="58" t="e">
        <f t="shared" si="2"/>
        <v>#DIV/0!</v>
      </c>
      <c r="U25" s="40" t="e">
        <f t="shared" ref="U25:U30" si="5">(T25-$G$35)/$G$34</f>
        <v>#DIV/0!</v>
      </c>
      <c r="V25" s="40" t="e">
        <f>(T25-$D$30)/$G$34</f>
        <v>#DIV/0!</v>
      </c>
      <c r="AE25" s="42"/>
      <c r="AF25" s="42"/>
      <c r="AG25" s="58">
        <v>1.5</v>
      </c>
      <c r="AH25" s="65"/>
      <c r="AI25" s="50"/>
      <c r="AJ25" s="58" t="e">
        <f t="shared" si="3"/>
        <v>#DIV/0!</v>
      </c>
      <c r="AK25" s="40" t="e">
        <f t="shared" ref="AK25:AK30" si="6">(AJ25-$G$35)/$G$34</f>
        <v>#DIV/0!</v>
      </c>
      <c r="AL25" s="40" t="e">
        <f>(AJ25-$D$30)/$G$34</f>
        <v>#DIV/0!</v>
      </c>
      <c r="AU25" s="42"/>
    </row>
    <row r="26" spans="1:47" x14ac:dyDescent="0.25">
      <c r="A26" s="40">
        <v>0.75</v>
      </c>
      <c r="B26" s="65"/>
      <c r="C26" s="50"/>
      <c r="D26" s="40" t="e">
        <f t="shared" si="0"/>
        <v>#DIV/0!</v>
      </c>
      <c r="E26" s="40" t="e">
        <f t="shared" si="1"/>
        <v>#DIV/0!</v>
      </c>
      <c r="F26" s="40" t="e">
        <f t="shared" si="4"/>
        <v>#DIV/0!</v>
      </c>
      <c r="O26" s="42"/>
      <c r="P26" s="42"/>
      <c r="Q26" s="40">
        <v>1</v>
      </c>
      <c r="R26" s="65"/>
      <c r="S26" s="50"/>
      <c r="T26" s="40" t="e">
        <f t="shared" si="2"/>
        <v>#DIV/0!</v>
      </c>
      <c r="U26" s="40" t="e">
        <f t="shared" si="5"/>
        <v>#DIV/0!</v>
      </c>
      <c r="V26" s="40" t="e">
        <f t="shared" ref="V26:V30" si="7">(T26-$D$30)/$G$34</f>
        <v>#DIV/0!</v>
      </c>
      <c r="AE26" s="42"/>
      <c r="AF26" s="42"/>
      <c r="AG26" s="40">
        <v>1</v>
      </c>
      <c r="AH26" s="65"/>
      <c r="AI26" s="50"/>
      <c r="AJ26" s="40" t="e">
        <f t="shared" si="3"/>
        <v>#DIV/0!</v>
      </c>
      <c r="AK26" s="40" t="e">
        <f t="shared" si="6"/>
        <v>#DIV/0!</v>
      </c>
      <c r="AL26" s="40" t="e">
        <f t="shared" ref="AL26:AL30" si="8">(AJ26-$D$30)/$G$34</f>
        <v>#DIV/0!</v>
      </c>
      <c r="AU26" s="42"/>
    </row>
    <row r="27" spans="1:47" x14ac:dyDescent="0.25">
      <c r="A27" s="40">
        <v>0.5</v>
      </c>
      <c r="B27" s="65"/>
      <c r="C27" s="50"/>
      <c r="D27" s="40" t="e">
        <f t="shared" si="0"/>
        <v>#DIV/0!</v>
      </c>
      <c r="E27" s="40" t="e">
        <f t="shared" si="1"/>
        <v>#DIV/0!</v>
      </c>
      <c r="F27" s="40" t="e">
        <f t="shared" si="4"/>
        <v>#DIV/0!</v>
      </c>
      <c r="O27" s="42"/>
      <c r="P27" s="42"/>
      <c r="Q27" s="40">
        <v>0.75</v>
      </c>
      <c r="R27" s="65"/>
      <c r="S27" s="50"/>
      <c r="T27" s="40" t="e">
        <f t="shared" si="2"/>
        <v>#DIV/0!</v>
      </c>
      <c r="U27" s="40" t="e">
        <f t="shared" si="5"/>
        <v>#DIV/0!</v>
      </c>
      <c r="V27" s="40" t="e">
        <f t="shared" si="7"/>
        <v>#DIV/0!</v>
      </c>
      <c r="AE27" s="42"/>
      <c r="AF27" s="42"/>
      <c r="AG27" s="40">
        <v>0.75</v>
      </c>
      <c r="AH27" s="65"/>
      <c r="AI27" s="50"/>
      <c r="AJ27" s="40" t="e">
        <f t="shared" si="3"/>
        <v>#DIV/0!</v>
      </c>
      <c r="AK27" s="40" t="e">
        <f t="shared" si="6"/>
        <v>#DIV/0!</v>
      </c>
      <c r="AL27" s="40" t="e">
        <f t="shared" si="8"/>
        <v>#DIV/0!</v>
      </c>
      <c r="AU27" s="42"/>
    </row>
    <row r="28" spans="1:47" x14ac:dyDescent="0.25">
      <c r="A28" s="40">
        <v>0.25</v>
      </c>
      <c r="B28" s="65"/>
      <c r="C28" s="50"/>
      <c r="D28" s="40" t="e">
        <f t="shared" si="0"/>
        <v>#DIV/0!</v>
      </c>
      <c r="E28" s="40" t="e">
        <f t="shared" si="1"/>
        <v>#DIV/0!</v>
      </c>
      <c r="F28" s="40" t="e">
        <f t="shared" si="4"/>
        <v>#DIV/0!</v>
      </c>
      <c r="G28" s="40" t="s">
        <v>109</v>
      </c>
      <c r="O28" s="42"/>
      <c r="P28" s="42"/>
      <c r="Q28" s="40">
        <v>0.5</v>
      </c>
      <c r="R28" s="65"/>
      <c r="S28" s="50"/>
      <c r="T28" s="40" t="e">
        <f t="shared" si="2"/>
        <v>#DIV/0!</v>
      </c>
      <c r="U28" s="40" t="e">
        <f t="shared" si="5"/>
        <v>#DIV/0!</v>
      </c>
      <c r="V28" s="40" t="e">
        <f t="shared" si="7"/>
        <v>#DIV/0!</v>
      </c>
      <c r="AE28" s="42"/>
      <c r="AF28" s="42"/>
      <c r="AG28" s="40">
        <v>0.5</v>
      </c>
      <c r="AH28" s="65"/>
      <c r="AI28" s="50"/>
      <c r="AJ28" s="40" t="e">
        <f t="shared" si="3"/>
        <v>#DIV/0!</v>
      </c>
      <c r="AK28" s="40" t="e">
        <f t="shared" si="6"/>
        <v>#DIV/0!</v>
      </c>
      <c r="AL28" s="40" t="e">
        <f t="shared" si="8"/>
        <v>#DIV/0!</v>
      </c>
      <c r="AU28" s="42"/>
    </row>
    <row r="29" spans="1:47" x14ac:dyDescent="0.25">
      <c r="A29" s="40">
        <v>0.125</v>
      </c>
      <c r="B29" s="65"/>
      <c r="C29" s="50"/>
      <c r="D29" s="40" t="e">
        <f t="shared" si="0"/>
        <v>#DIV/0!</v>
      </c>
      <c r="E29" s="40" t="e">
        <f t="shared" si="1"/>
        <v>#DIV/0!</v>
      </c>
      <c r="F29" s="40" t="e">
        <f t="shared" si="4"/>
        <v>#DIV/0!</v>
      </c>
      <c r="O29" s="42"/>
      <c r="P29" s="42"/>
      <c r="Q29" s="40">
        <v>0.25</v>
      </c>
      <c r="R29" s="65"/>
      <c r="S29" s="50"/>
      <c r="T29" s="40" t="e">
        <f t="shared" si="2"/>
        <v>#DIV/0!</v>
      </c>
      <c r="U29" s="40" t="e">
        <f t="shared" si="5"/>
        <v>#DIV/0!</v>
      </c>
      <c r="V29" s="40" t="e">
        <f t="shared" si="7"/>
        <v>#DIV/0!</v>
      </c>
      <c r="W29" s="40" t="s">
        <v>109</v>
      </c>
      <c r="AE29" s="42"/>
      <c r="AF29" s="42"/>
      <c r="AG29" s="40">
        <v>0.25</v>
      </c>
      <c r="AH29" s="65"/>
      <c r="AI29" s="50"/>
      <c r="AJ29" s="40" t="e">
        <f t="shared" si="3"/>
        <v>#DIV/0!</v>
      </c>
      <c r="AK29" s="40" t="e">
        <f t="shared" si="6"/>
        <v>#DIV/0!</v>
      </c>
      <c r="AL29" s="40" t="e">
        <f t="shared" si="8"/>
        <v>#DIV/0!</v>
      </c>
      <c r="AM29" s="40" t="s">
        <v>109</v>
      </c>
      <c r="AU29" s="42"/>
    </row>
    <row r="30" spans="1:47" x14ac:dyDescent="0.25">
      <c r="A30" s="40">
        <v>0</v>
      </c>
      <c r="B30" s="67"/>
      <c r="C30" s="68"/>
      <c r="D30" s="40" t="e">
        <f t="shared" si="0"/>
        <v>#DIV/0!</v>
      </c>
      <c r="O30" s="42"/>
      <c r="P30" s="42"/>
      <c r="Q30" s="40">
        <v>0.125</v>
      </c>
      <c r="R30" s="65"/>
      <c r="S30" s="50"/>
      <c r="T30" s="40" t="e">
        <f t="shared" si="2"/>
        <v>#DIV/0!</v>
      </c>
      <c r="U30" s="40" t="e">
        <f t="shared" si="5"/>
        <v>#DIV/0!</v>
      </c>
      <c r="V30" s="40" t="e">
        <f t="shared" si="7"/>
        <v>#DIV/0!</v>
      </c>
      <c r="AE30" s="42"/>
      <c r="AF30" s="42"/>
      <c r="AG30" s="40">
        <v>0.125</v>
      </c>
      <c r="AH30" s="65"/>
      <c r="AI30" s="50"/>
      <c r="AJ30" s="40" t="e">
        <f t="shared" si="3"/>
        <v>#DIV/0!</v>
      </c>
      <c r="AK30" s="40" t="e">
        <f t="shared" si="6"/>
        <v>#DIV/0!</v>
      </c>
      <c r="AL30" s="40" t="e">
        <f t="shared" si="8"/>
        <v>#DIV/0!</v>
      </c>
      <c r="AU30" s="42"/>
    </row>
    <row r="31" spans="1:47" x14ac:dyDescent="0.25">
      <c r="O31" s="42"/>
      <c r="P31" s="42"/>
      <c r="Q31" s="40">
        <v>0</v>
      </c>
      <c r="R31" s="67"/>
      <c r="S31" s="68"/>
      <c r="T31" s="40" t="e">
        <f t="shared" si="2"/>
        <v>#DIV/0!</v>
      </c>
      <c r="AE31" s="42"/>
      <c r="AF31" s="42"/>
      <c r="AG31" s="40">
        <v>0</v>
      </c>
      <c r="AH31" s="67"/>
      <c r="AI31" s="68"/>
      <c r="AJ31" s="40" t="e">
        <f t="shared" si="3"/>
        <v>#DIV/0!</v>
      </c>
      <c r="AU31" s="42"/>
    </row>
    <row r="32" spans="1:47" x14ac:dyDescent="0.25">
      <c r="AE32" s="42"/>
      <c r="AU32" s="42"/>
    </row>
    <row r="33" spans="1:40" x14ac:dyDescent="0.25">
      <c r="A33" s="39"/>
      <c r="B33" s="39"/>
      <c r="C33" s="41"/>
      <c r="D33" s="41"/>
      <c r="E33" s="41"/>
      <c r="F33" s="41"/>
      <c r="AF33" s="41"/>
      <c r="AG33" s="41"/>
      <c r="AH33" s="41"/>
      <c r="AI33" s="41"/>
      <c r="AJ33" s="41"/>
      <c r="AK33" s="41"/>
      <c r="AL33" s="41"/>
    </row>
    <row r="34" spans="1:40" x14ac:dyDescent="0.25">
      <c r="A34" s="16"/>
      <c r="B34" s="41"/>
      <c r="C34" s="41"/>
      <c r="D34" s="130"/>
      <c r="E34" s="41"/>
      <c r="F34" s="41"/>
      <c r="G34" s="40" t="e">
        <f>SLOPE(D23:D30,A23:A30)</f>
        <v>#DIV/0!</v>
      </c>
      <c r="H34" s="40" t="s">
        <v>115</v>
      </c>
      <c r="Q34" s="39"/>
      <c r="R34" s="39"/>
      <c r="S34" s="41"/>
      <c r="T34" s="41"/>
      <c r="U34" s="41"/>
      <c r="V34" s="41"/>
      <c r="AF34" s="41"/>
      <c r="AG34" s="39"/>
      <c r="AH34" s="39"/>
      <c r="AI34" s="41"/>
      <c r="AJ34" s="41"/>
      <c r="AK34" s="41"/>
      <c r="AL34" s="41"/>
    </row>
    <row r="35" spans="1:40" x14ac:dyDescent="0.25">
      <c r="A35" s="131"/>
      <c r="B35" s="41"/>
      <c r="C35" s="41"/>
      <c r="D35" s="131"/>
      <c r="E35" s="41"/>
      <c r="F35" s="41"/>
      <c r="G35" s="40" t="e">
        <f>INTERCEPT(D23:D30,A23:A30)</f>
        <v>#DIV/0!</v>
      </c>
      <c r="H35" s="40" t="s">
        <v>116</v>
      </c>
      <c r="Q35" s="16"/>
      <c r="R35" s="41"/>
      <c r="S35" s="41"/>
      <c r="T35" s="130"/>
      <c r="U35" s="41"/>
      <c r="V35" s="41"/>
      <c r="W35" s="40" t="e">
        <f>SLOPE(T26:T31,Q26:Q31)</f>
        <v>#DIV/0!</v>
      </c>
      <c r="X35" s="40" t="s">
        <v>115</v>
      </c>
      <c r="AF35" s="41"/>
      <c r="AG35" s="16"/>
      <c r="AH35" s="41"/>
      <c r="AI35" s="41"/>
      <c r="AJ35" s="130"/>
      <c r="AK35" s="41"/>
      <c r="AL35" s="41"/>
      <c r="AM35" s="40" t="e">
        <f>SLOPE(AJ26:AJ31,AG26:AG31)</f>
        <v>#DIV/0!</v>
      </c>
      <c r="AN35" s="40" t="s">
        <v>115</v>
      </c>
    </row>
    <row r="36" spans="1:40" x14ac:dyDescent="0.25">
      <c r="A36" s="16"/>
      <c r="B36" s="41"/>
      <c r="C36" s="41"/>
      <c r="D36" s="16"/>
      <c r="E36" s="41"/>
      <c r="F36" s="41"/>
      <c r="Q36" s="41"/>
      <c r="R36" s="41"/>
      <c r="S36" s="41"/>
      <c r="T36" s="41"/>
      <c r="U36" s="41"/>
      <c r="V36" s="41"/>
      <c r="W36" s="40" t="e">
        <f>INTERCEPT(T26:T31,Q26:Q31)</f>
        <v>#DIV/0!</v>
      </c>
      <c r="X36" s="40" t="s">
        <v>116</v>
      </c>
      <c r="AF36" s="41"/>
      <c r="AG36" s="41"/>
      <c r="AH36" s="41"/>
      <c r="AI36" s="41"/>
      <c r="AJ36" s="41"/>
      <c r="AK36" s="41"/>
      <c r="AL36" s="41"/>
      <c r="AM36" s="40" t="e">
        <f>INTERCEPT(AJ26:AJ31,AG26:AG31)</f>
        <v>#DIV/0!</v>
      </c>
      <c r="AN36" s="40" t="s">
        <v>116</v>
      </c>
    </row>
    <row r="37" spans="1:40" x14ac:dyDescent="0.25">
      <c r="A37" s="57" t="s">
        <v>176</v>
      </c>
      <c r="B37" s="57"/>
      <c r="D37" s="41"/>
      <c r="E37" s="41"/>
      <c r="F37" s="129" t="s">
        <v>118</v>
      </c>
      <c r="G37" s="58"/>
      <c r="AF37" s="41"/>
    </row>
    <row r="38" spans="1:40" x14ac:dyDescent="0.25">
      <c r="A38" s="40" t="s">
        <v>106</v>
      </c>
      <c r="B38" s="40" t="s">
        <v>95</v>
      </c>
      <c r="C38" s="40" t="s">
        <v>97</v>
      </c>
      <c r="D38" s="41" t="s">
        <v>107</v>
      </c>
      <c r="E38" s="41" t="s">
        <v>108</v>
      </c>
      <c r="F38" s="41"/>
      <c r="Q38" s="57" t="s">
        <v>176</v>
      </c>
      <c r="R38" s="57"/>
      <c r="T38" s="41"/>
      <c r="U38" s="41"/>
      <c r="V38" s="129" t="s">
        <v>118</v>
      </c>
      <c r="W38" s="58"/>
      <c r="AF38" s="41"/>
      <c r="AG38" s="57" t="s">
        <v>176</v>
      </c>
      <c r="AH38" s="57"/>
      <c r="AJ38" s="41"/>
      <c r="AK38" s="41"/>
      <c r="AL38" s="129" t="s">
        <v>118</v>
      </c>
      <c r="AM38" s="58"/>
    </row>
    <row r="39" spans="1:40" x14ac:dyDescent="0.25">
      <c r="A39" s="41">
        <v>2</v>
      </c>
      <c r="B39" s="62"/>
      <c r="C39" s="63"/>
      <c r="D39" s="41" t="e">
        <f t="shared" ref="D39:D46" si="9">AVERAGE(B39:C39)</f>
        <v>#DIV/0!</v>
      </c>
      <c r="E39" s="41"/>
      <c r="F39" s="41"/>
      <c r="Q39" s="40" t="s">
        <v>106</v>
      </c>
      <c r="R39" s="40" t="s">
        <v>95</v>
      </c>
      <c r="S39" s="40" t="s">
        <v>97</v>
      </c>
      <c r="T39" s="41" t="s">
        <v>107</v>
      </c>
      <c r="U39" s="41" t="s">
        <v>108</v>
      </c>
      <c r="V39" s="41"/>
      <c r="AF39" s="41"/>
      <c r="AG39" s="40" t="s">
        <v>106</v>
      </c>
      <c r="AH39" s="40" t="s">
        <v>95</v>
      </c>
      <c r="AI39" s="40" t="s">
        <v>97</v>
      </c>
      <c r="AJ39" s="41" t="s">
        <v>107</v>
      </c>
      <c r="AK39" s="41" t="s">
        <v>108</v>
      </c>
      <c r="AL39" s="41"/>
    </row>
    <row r="40" spans="1:40" x14ac:dyDescent="0.25">
      <c r="A40" s="41">
        <v>1.5</v>
      </c>
      <c r="B40" s="65"/>
      <c r="C40" s="50"/>
      <c r="D40" s="41" t="e">
        <f t="shared" si="9"/>
        <v>#DIV/0!</v>
      </c>
      <c r="E40" s="41" t="e">
        <f t="shared" ref="E40:E45" si="10">(D40-$G$35)/$G$34</f>
        <v>#DIV/0!</v>
      </c>
      <c r="F40" s="41" t="e">
        <f>(D40-$D$30)/$G$34</f>
        <v>#DIV/0!</v>
      </c>
      <c r="Q40" s="41">
        <v>2</v>
      </c>
      <c r="R40" s="62"/>
      <c r="S40" s="63"/>
      <c r="T40" s="41" t="e">
        <f t="shared" ref="T40:T47" si="11">AVERAGE(R40:S40)</f>
        <v>#DIV/0!</v>
      </c>
      <c r="U40" s="41"/>
      <c r="V40" s="41"/>
      <c r="AF40" s="41"/>
      <c r="AG40" s="41">
        <v>2</v>
      </c>
      <c r="AH40" s="62"/>
      <c r="AI40" s="63"/>
      <c r="AJ40" s="41" t="e">
        <f t="shared" ref="AJ40:AJ47" si="12">AVERAGE(AH40:AI40)</f>
        <v>#DIV/0!</v>
      </c>
      <c r="AK40" s="41"/>
      <c r="AL40" s="41"/>
    </row>
    <row r="41" spans="1:40" x14ac:dyDescent="0.25">
      <c r="A41" s="40">
        <v>1</v>
      </c>
      <c r="B41" s="65"/>
      <c r="C41" s="50"/>
      <c r="D41" s="40" t="e">
        <f t="shared" si="9"/>
        <v>#DIV/0!</v>
      </c>
      <c r="E41" s="40" t="e">
        <f t="shared" si="10"/>
        <v>#DIV/0!</v>
      </c>
      <c r="F41" s="40" t="e">
        <f t="shared" ref="F41:F45" si="13">(D41-$D$30)/$G$34</f>
        <v>#DIV/0!</v>
      </c>
      <c r="Q41" s="41">
        <v>1.5</v>
      </c>
      <c r="R41" s="65"/>
      <c r="S41" s="50"/>
      <c r="T41" s="41" t="e">
        <f t="shared" si="11"/>
        <v>#DIV/0!</v>
      </c>
      <c r="U41" s="41" t="e">
        <f t="shared" ref="U41:U46" si="14">(T41-$G$35)/$G$34</f>
        <v>#DIV/0!</v>
      </c>
      <c r="V41" s="41" t="e">
        <f>(T41-$D$30)/$G$34</f>
        <v>#DIV/0!</v>
      </c>
      <c r="AF41" s="41"/>
      <c r="AG41" s="41">
        <v>1.5</v>
      </c>
      <c r="AH41" s="65"/>
      <c r="AI41" s="50"/>
      <c r="AJ41" s="41" t="e">
        <f t="shared" si="12"/>
        <v>#DIV/0!</v>
      </c>
      <c r="AK41" s="41" t="e">
        <f t="shared" ref="AK41:AK46" si="15">(AJ41-$G$35)/$G$34</f>
        <v>#DIV/0!</v>
      </c>
      <c r="AL41" s="41" t="e">
        <f>(AJ41-$D$30)/$G$34</f>
        <v>#DIV/0!</v>
      </c>
    </row>
    <row r="42" spans="1:40" x14ac:dyDescent="0.25">
      <c r="A42" s="40">
        <v>0.75</v>
      </c>
      <c r="B42" s="65"/>
      <c r="C42" s="50"/>
      <c r="D42" s="40" t="e">
        <f t="shared" si="9"/>
        <v>#DIV/0!</v>
      </c>
      <c r="E42" s="40" t="e">
        <f t="shared" si="10"/>
        <v>#DIV/0!</v>
      </c>
      <c r="F42" s="40" t="e">
        <f t="shared" si="13"/>
        <v>#DIV/0!</v>
      </c>
      <c r="Q42" s="40">
        <v>1</v>
      </c>
      <c r="R42" s="65"/>
      <c r="S42" s="50"/>
      <c r="T42" s="40" t="e">
        <f t="shared" si="11"/>
        <v>#DIV/0!</v>
      </c>
      <c r="U42" s="40" t="e">
        <f t="shared" si="14"/>
        <v>#DIV/0!</v>
      </c>
      <c r="V42" s="40" t="e">
        <f t="shared" ref="V42:V46" si="16">(T42-$D$30)/$G$34</f>
        <v>#DIV/0!</v>
      </c>
      <c r="AF42" s="41"/>
      <c r="AG42" s="40">
        <v>1</v>
      </c>
      <c r="AH42" s="65"/>
      <c r="AI42" s="50"/>
      <c r="AJ42" s="40" t="e">
        <f t="shared" si="12"/>
        <v>#DIV/0!</v>
      </c>
      <c r="AK42" s="40" t="e">
        <f t="shared" si="15"/>
        <v>#DIV/0!</v>
      </c>
      <c r="AL42" s="40" t="e">
        <f t="shared" ref="AL42:AL46" si="17">(AJ42-$D$30)/$G$34</f>
        <v>#DIV/0!</v>
      </c>
    </row>
    <row r="43" spans="1:40" x14ac:dyDescent="0.25">
      <c r="A43" s="40">
        <v>0.5</v>
      </c>
      <c r="B43" s="65"/>
      <c r="C43" s="50"/>
      <c r="D43" s="40" t="e">
        <f t="shared" si="9"/>
        <v>#DIV/0!</v>
      </c>
      <c r="E43" s="40" t="e">
        <f t="shared" si="10"/>
        <v>#DIV/0!</v>
      </c>
      <c r="F43" s="40" t="e">
        <f t="shared" si="13"/>
        <v>#DIV/0!</v>
      </c>
      <c r="Q43" s="40">
        <v>0.75</v>
      </c>
      <c r="R43" s="65"/>
      <c r="S43" s="50"/>
      <c r="T43" s="40" t="e">
        <f t="shared" si="11"/>
        <v>#DIV/0!</v>
      </c>
      <c r="U43" s="40" t="e">
        <f t="shared" si="14"/>
        <v>#DIV/0!</v>
      </c>
      <c r="V43" s="40" t="e">
        <f t="shared" si="16"/>
        <v>#DIV/0!</v>
      </c>
      <c r="AF43" s="41"/>
      <c r="AG43" s="40">
        <v>0.75</v>
      </c>
      <c r="AH43" s="65"/>
      <c r="AI43" s="50"/>
      <c r="AJ43" s="40" t="e">
        <f t="shared" si="12"/>
        <v>#DIV/0!</v>
      </c>
      <c r="AK43" s="40" t="e">
        <f t="shared" si="15"/>
        <v>#DIV/0!</v>
      </c>
      <c r="AL43" s="40" t="e">
        <f t="shared" si="17"/>
        <v>#DIV/0!</v>
      </c>
    </row>
    <row r="44" spans="1:40" x14ac:dyDescent="0.25">
      <c r="A44" s="40">
        <v>0.25</v>
      </c>
      <c r="B44" s="65"/>
      <c r="C44" s="50"/>
      <c r="D44" s="40" t="e">
        <f t="shared" si="9"/>
        <v>#DIV/0!</v>
      </c>
      <c r="E44" s="40" t="e">
        <f t="shared" si="10"/>
        <v>#DIV/0!</v>
      </c>
      <c r="F44" s="40" t="e">
        <f t="shared" si="13"/>
        <v>#DIV/0!</v>
      </c>
      <c r="G44" s="40" t="s">
        <v>109</v>
      </c>
      <c r="Q44" s="40">
        <v>0.5</v>
      </c>
      <c r="R44" s="65"/>
      <c r="S44" s="50"/>
      <c r="T44" s="40" t="e">
        <f t="shared" si="11"/>
        <v>#DIV/0!</v>
      </c>
      <c r="U44" s="40" t="e">
        <f t="shared" si="14"/>
        <v>#DIV/0!</v>
      </c>
      <c r="V44" s="40" t="e">
        <f t="shared" si="16"/>
        <v>#DIV/0!</v>
      </c>
      <c r="AF44" s="41"/>
      <c r="AG44" s="40">
        <v>0.5</v>
      </c>
      <c r="AH44" s="65"/>
      <c r="AI44" s="50"/>
      <c r="AJ44" s="40" t="e">
        <f t="shared" si="12"/>
        <v>#DIV/0!</v>
      </c>
      <c r="AK44" s="40" t="e">
        <f t="shared" si="15"/>
        <v>#DIV/0!</v>
      </c>
      <c r="AL44" s="40" t="e">
        <f t="shared" si="17"/>
        <v>#DIV/0!</v>
      </c>
    </row>
    <row r="45" spans="1:40" x14ac:dyDescent="0.25">
      <c r="A45" s="40">
        <v>0.125</v>
      </c>
      <c r="B45" s="65"/>
      <c r="C45" s="50"/>
      <c r="D45" s="40" t="e">
        <f t="shared" si="9"/>
        <v>#DIV/0!</v>
      </c>
      <c r="E45" s="40" t="e">
        <f t="shared" si="10"/>
        <v>#DIV/0!</v>
      </c>
      <c r="F45" s="40" t="e">
        <f t="shared" si="13"/>
        <v>#DIV/0!</v>
      </c>
      <c r="Q45" s="40">
        <v>0.25</v>
      </c>
      <c r="R45" s="65"/>
      <c r="S45" s="50"/>
      <c r="T45" s="40" t="e">
        <f t="shared" si="11"/>
        <v>#DIV/0!</v>
      </c>
      <c r="U45" s="40" t="e">
        <f t="shared" si="14"/>
        <v>#DIV/0!</v>
      </c>
      <c r="V45" s="40" t="e">
        <f t="shared" si="16"/>
        <v>#DIV/0!</v>
      </c>
      <c r="W45" s="40" t="s">
        <v>109</v>
      </c>
      <c r="AF45" s="41"/>
      <c r="AG45" s="40">
        <v>0.25</v>
      </c>
      <c r="AH45" s="65"/>
      <c r="AI45" s="50"/>
      <c r="AJ45" s="40" t="e">
        <f t="shared" si="12"/>
        <v>#DIV/0!</v>
      </c>
      <c r="AK45" s="40" t="e">
        <f t="shared" si="15"/>
        <v>#DIV/0!</v>
      </c>
      <c r="AL45" s="40" t="e">
        <f t="shared" si="17"/>
        <v>#DIV/0!</v>
      </c>
      <c r="AM45" s="40" t="s">
        <v>109</v>
      </c>
    </row>
    <row r="46" spans="1:40" x14ac:dyDescent="0.25">
      <c r="A46" s="40">
        <v>0</v>
      </c>
      <c r="B46" s="67"/>
      <c r="C46" s="68"/>
      <c r="D46" s="40" t="e">
        <f t="shared" si="9"/>
        <v>#DIV/0!</v>
      </c>
      <c r="Q46" s="40">
        <v>0.125</v>
      </c>
      <c r="R46" s="65"/>
      <c r="S46" s="50"/>
      <c r="T46" s="40" t="e">
        <f t="shared" si="11"/>
        <v>#DIV/0!</v>
      </c>
      <c r="U46" s="40" t="e">
        <f t="shared" si="14"/>
        <v>#DIV/0!</v>
      </c>
      <c r="V46" s="40" t="e">
        <f t="shared" si="16"/>
        <v>#DIV/0!</v>
      </c>
      <c r="AF46" s="41"/>
      <c r="AG46" s="40">
        <v>0.125</v>
      </c>
      <c r="AH46" s="65"/>
      <c r="AI46" s="50"/>
      <c r="AJ46" s="40" t="e">
        <f t="shared" si="12"/>
        <v>#DIV/0!</v>
      </c>
      <c r="AK46" s="40" t="e">
        <f t="shared" si="15"/>
        <v>#DIV/0!</v>
      </c>
      <c r="AL46" s="40" t="e">
        <f t="shared" si="17"/>
        <v>#DIV/0!</v>
      </c>
    </row>
    <row r="47" spans="1:40" x14ac:dyDescent="0.25">
      <c r="Q47" s="40">
        <v>0</v>
      </c>
      <c r="R47" s="67"/>
      <c r="S47" s="68"/>
      <c r="T47" s="40" t="e">
        <f t="shared" si="11"/>
        <v>#DIV/0!</v>
      </c>
      <c r="AF47" s="41"/>
      <c r="AG47" s="40">
        <v>0</v>
      </c>
      <c r="AH47" s="67"/>
      <c r="AI47" s="68"/>
      <c r="AJ47" s="40" t="e">
        <f t="shared" si="12"/>
        <v>#DIV/0!</v>
      </c>
    </row>
    <row r="48" spans="1:40" x14ac:dyDescent="0.25">
      <c r="AF48" s="41"/>
    </row>
    <row r="49" spans="1:45" x14ac:dyDescent="0.25">
      <c r="A49" s="39"/>
      <c r="B49" s="39"/>
      <c r="C49" s="41"/>
      <c r="D49" s="41"/>
      <c r="E49" s="41"/>
      <c r="F49" s="41"/>
      <c r="AF49" s="41"/>
    </row>
    <row r="50" spans="1:45" x14ac:dyDescent="0.25">
      <c r="A50" s="16"/>
      <c r="B50" s="41"/>
      <c r="C50" s="41"/>
      <c r="D50" s="130"/>
      <c r="E50" s="41"/>
      <c r="F50" s="41"/>
      <c r="G50" s="40" t="e">
        <f>SLOPE(D39:D46,A39:A46)</f>
        <v>#DIV/0!</v>
      </c>
      <c r="H50" s="40" t="s">
        <v>115</v>
      </c>
      <c r="Q50" s="39"/>
      <c r="R50" s="39"/>
      <c r="S50" s="41"/>
      <c r="T50" s="41"/>
      <c r="U50" s="41"/>
      <c r="V50" s="41"/>
      <c r="AF50" s="41"/>
      <c r="AG50" s="39"/>
      <c r="AH50" s="39"/>
      <c r="AI50" s="41"/>
      <c r="AJ50" s="41"/>
      <c r="AK50" s="41"/>
      <c r="AL50" s="41"/>
    </row>
    <row r="51" spans="1:45" x14ac:dyDescent="0.25">
      <c r="A51" s="131"/>
      <c r="B51" s="41"/>
      <c r="C51" s="41"/>
      <c r="D51" s="131"/>
      <c r="E51" s="41"/>
      <c r="F51" s="41"/>
      <c r="G51" s="40" t="e">
        <f>INTERCEPT(D39:D46,A39:A46)</f>
        <v>#DIV/0!</v>
      </c>
      <c r="H51" s="40" t="s">
        <v>116</v>
      </c>
      <c r="Q51" s="16"/>
      <c r="R51" s="41"/>
      <c r="S51" s="41"/>
      <c r="T51" s="130"/>
      <c r="U51" s="41"/>
      <c r="V51" s="41"/>
      <c r="W51" s="40" t="e">
        <f>SLOPE(T40:T47,Q40:Q47)</f>
        <v>#DIV/0!</v>
      </c>
      <c r="X51" s="40" t="s">
        <v>115</v>
      </c>
      <c r="AF51" s="41"/>
      <c r="AG51" s="16"/>
      <c r="AH51" s="41"/>
      <c r="AI51" s="41"/>
      <c r="AJ51" s="130"/>
      <c r="AK51" s="41"/>
      <c r="AL51" s="41"/>
      <c r="AM51" s="40" t="e">
        <f>SLOPE(AJ40:AJ47,AG40:AG47)</f>
        <v>#DIV/0!</v>
      </c>
      <c r="AN51" s="40" t="s">
        <v>115</v>
      </c>
    </row>
    <row r="52" spans="1:45" x14ac:dyDescent="0.25">
      <c r="A52" s="43"/>
      <c r="B52" s="41"/>
      <c r="C52" s="41"/>
      <c r="D52" s="43"/>
      <c r="E52" s="41"/>
      <c r="F52" s="41"/>
      <c r="H52" s="41"/>
      <c r="I52" s="41"/>
      <c r="J52" s="41"/>
      <c r="K52" s="132"/>
      <c r="L52" s="41"/>
      <c r="Q52" s="131"/>
      <c r="R52" s="41"/>
      <c r="S52" s="41"/>
      <c r="T52" s="131"/>
      <c r="U52" s="41"/>
      <c r="V52" s="41"/>
      <c r="W52" s="40" t="e">
        <f>INTERCEPT(T40:T47,Q40:Q47)</f>
        <v>#DIV/0!</v>
      </c>
      <c r="X52" s="40" t="s">
        <v>116</v>
      </c>
      <c r="AG52" s="131"/>
      <c r="AH52" s="41"/>
      <c r="AI52" s="41"/>
      <c r="AJ52" s="131"/>
      <c r="AK52" s="41"/>
      <c r="AL52" s="41"/>
      <c r="AM52" s="40" t="e">
        <f>INTERCEPT(AJ40:AJ47,AG40:AG47)</f>
        <v>#DIV/0!</v>
      </c>
      <c r="AN52" s="40" t="s">
        <v>116</v>
      </c>
    </row>
    <row r="53" spans="1:45" x14ac:dyDescent="0.25">
      <c r="A53" s="41"/>
      <c r="B53" s="41"/>
      <c r="C53" s="41"/>
      <c r="D53" s="41"/>
      <c r="E53" s="41"/>
      <c r="F53" s="41"/>
    </row>
    <row r="54" spans="1:45" x14ac:dyDescent="0.25">
      <c r="G54" s="41"/>
      <c r="H54" s="41"/>
      <c r="R54" s="57" t="s">
        <v>110</v>
      </c>
      <c r="S54" s="57"/>
      <c r="T54" s="57"/>
      <c r="AH54" s="57" t="s">
        <v>110</v>
      </c>
      <c r="AI54" s="57"/>
      <c r="AJ54" s="57"/>
    </row>
    <row r="55" spans="1:45" ht="15.75" thickBot="1" x14ac:dyDescent="0.3">
      <c r="B55" s="57" t="s">
        <v>110</v>
      </c>
      <c r="C55" s="57"/>
      <c r="D55" s="57"/>
      <c r="I55" s="57" t="s">
        <v>110</v>
      </c>
      <c r="J55" s="57"/>
      <c r="K55" s="57"/>
      <c r="R55" s="6" t="s">
        <v>79</v>
      </c>
      <c r="S55" s="40" t="s">
        <v>95</v>
      </c>
      <c r="T55" s="40" t="s">
        <v>97</v>
      </c>
      <c r="U55" s="40" t="s">
        <v>107</v>
      </c>
      <c r="V55" s="40" t="s">
        <v>111</v>
      </c>
      <c r="Y55" s="6" t="s">
        <v>79</v>
      </c>
      <c r="Z55" s="40" t="s">
        <v>95</v>
      </c>
      <c r="AA55" s="40" t="s">
        <v>97</v>
      </c>
      <c r="AB55" s="40" t="s">
        <v>107</v>
      </c>
      <c r="AC55" s="40" t="s">
        <v>111</v>
      </c>
      <c r="AH55" s="6" t="s">
        <v>79</v>
      </c>
      <c r="AI55" s="40" t="s">
        <v>95</v>
      </c>
      <c r="AJ55" s="40" t="s">
        <v>97</v>
      </c>
      <c r="AK55" s="40" t="s">
        <v>107</v>
      </c>
      <c r="AL55" s="40" t="s">
        <v>111</v>
      </c>
      <c r="AO55" s="6" t="s">
        <v>79</v>
      </c>
      <c r="AP55" s="40" t="s">
        <v>95</v>
      </c>
      <c r="AQ55" s="40" t="s">
        <v>97</v>
      </c>
      <c r="AR55" s="40" t="s">
        <v>107</v>
      </c>
      <c r="AS55" s="40" t="s">
        <v>111</v>
      </c>
    </row>
    <row r="56" spans="1:45" ht="15.75" customHeight="1" thickBot="1" x14ac:dyDescent="0.3">
      <c r="B56" s="6" t="s">
        <v>79</v>
      </c>
      <c r="C56" s="40" t="s">
        <v>95</v>
      </c>
      <c r="D56" s="40" t="s">
        <v>97</v>
      </c>
      <c r="E56" s="40" t="s">
        <v>107</v>
      </c>
      <c r="F56" s="40" t="s">
        <v>111</v>
      </c>
      <c r="I56" s="6" t="s">
        <v>79</v>
      </c>
      <c r="J56" s="40" t="s">
        <v>95</v>
      </c>
      <c r="K56" s="40" t="s">
        <v>97</v>
      </c>
      <c r="L56" s="40" t="s">
        <v>107</v>
      </c>
      <c r="M56" s="40" t="s">
        <v>111</v>
      </c>
      <c r="N56" s="41"/>
      <c r="O56" s="41"/>
      <c r="P56" s="41"/>
      <c r="Q56" s="181" t="s">
        <v>148</v>
      </c>
      <c r="R56" s="142" t="s">
        <v>132</v>
      </c>
      <c r="S56" s="152"/>
      <c r="T56" s="152"/>
      <c r="U56" s="86" t="e">
        <f t="shared" ref="U56:U87" si="18">AVERAGE(S56:T56)</f>
        <v>#DIV/0!</v>
      </c>
      <c r="V56" s="87" t="e">
        <f t="shared" ref="V56:V87" si="19">(U56-$G$35)/$G$34</f>
        <v>#DIV/0!</v>
      </c>
      <c r="X56" s="184" t="s">
        <v>148</v>
      </c>
      <c r="Y56" s="142" t="s">
        <v>165</v>
      </c>
      <c r="Z56" s="63"/>
      <c r="AA56" s="63"/>
      <c r="AB56" s="86" t="e">
        <f t="shared" ref="AB56:AB91" si="20">AVERAGE(Z56:AA56)</f>
        <v>#DIV/0!</v>
      </c>
      <c r="AC56" s="87" t="e">
        <f t="shared" ref="AC56:AC91" si="21">(AB56-$G$35)/$G$34</f>
        <v>#DIV/0!</v>
      </c>
      <c r="AG56" s="181" t="s">
        <v>148</v>
      </c>
      <c r="AH56" s="142" t="s">
        <v>132</v>
      </c>
      <c r="AI56" s="152"/>
      <c r="AJ56" s="152"/>
      <c r="AK56" s="86" t="e">
        <f t="shared" ref="AK56:AK87" si="22">AVERAGE(AI56:AJ56)</f>
        <v>#DIV/0!</v>
      </c>
      <c r="AL56" s="87" t="e">
        <f t="shared" ref="AL56:AL87" si="23">(AK56-$G$35)/$G$34</f>
        <v>#DIV/0!</v>
      </c>
      <c r="AN56" s="184" t="s">
        <v>148</v>
      </c>
      <c r="AO56" s="142" t="s">
        <v>165</v>
      </c>
      <c r="AP56" s="63"/>
      <c r="AQ56" s="63"/>
      <c r="AR56" s="86" t="e">
        <f t="shared" ref="AR56:AR91" si="24">AVERAGE(AP56:AQ56)</f>
        <v>#DIV/0!</v>
      </c>
      <c r="AS56" s="87" t="e">
        <f t="shared" ref="AS56:AS91" si="25">(AR56-$G$35)/$G$34</f>
        <v>#DIV/0!</v>
      </c>
    </row>
    <row r="57" spans="1:45" ht="15" customHeight="1" x14ac:dyDescent="0.25">
      <c r="A57" s="181" t="s">
        <v>148</v>
      </c>
      <c r="B57" s="142" t="s">
        <v>132</v>
      </c>
      <c r="C57" s="152"/>
      <c r="D57" s="152"/>
      <c r="E57" s="86" t="e">
        <f t="shared" ref="E57:E78" si="26">AVERAGE(C57:D57)</f>
        <v>#DIV/0!</v>
      </c>
      <c r="F57" s="87" t="e">
        <f t="shared" ref="F57:F78" si="27">(E57-$G$35)/$G$34</f>
        <v>#DIV/0!</v>
      </c>
      <c r="H57" s="184" t="s">
        <v>148</v>
      </c>
      <c r="I57" s="142" t="s">
        <v>165</v>
      </c>
      <c r="J57" s="63"/>
      <c r="K57" s="63"/>
      <c r="L57" s="86" t="e">
        <f t="shared" ref="L57:L92" si="28">AVERAGE(J57:K57)</f>
        <v>#DIV/0!</v>
      </c>
      <c r="M57" s="87" t="e">
        <f t="shared" ref="M57:M92" si="29">(L57-$G$35)/$G$34</f>
        <v>#DIV/0!</v>
      </c>
      <c r="N57" s="42"/>
      <c r="O57" s="41"/>
      <c r="P57" s="41"/>
      <c r="Q57" s="182"/>
      <c r="R57" s="143" t="s">
        <v>133</v>
      </c>
      <c r="S57" s="50"/>
      <c r="T57" s="50"/>
      <c r="U57" s="56" t="e">
        <f t="shared" si="18"/>
        <v>#DIV/0!</v>
      </c>
      <c r="V57" s="88" t="e">
        <f t="shared" si="19"/>
        <v>#DIV/0!</v>
      </c>
      <c r="X57" s="185"/>
      <c r="Y57" s="143" t="s">
        <v>166</v>
      </c>
      <c r="Z57" s="50"/>
      <c r="AA57" s="50"/>
      <c r="AB57" s="56" t="e">
        <f t="shared" si="20"/>
        <v>#DIV/0!</v>
      </c>
      <c r="AC57" s="88" t="e">
        <f t="shared" si="21"/>
        <v>#DIV/0!</v>
      </c>
      <c r="AG57" s="182"/>
      <c r="AH57" s="143" t="s">
        <v>133</v>
      </c>
      <c r="AI57" s="50"/>
      <c r="AJ57" s="50"/>
      <c r="AK57" s="56" t="e">
        <f t="shared" si="22"/>
        <v>#DIV/0!</v>
      </c>
      <c r="AL57" s="88" t="e">
        <f t="shared" si="23"/>
        <v>#DIV/0!</v>
      </c>
      <c r="AN57" s="185"/>
      <c r="AO57" s="143" t="s">
        <v>166</v>
      </c>
      <c r="AP57" s="50"/>
      <c r="AQ57" s="50"/>
      <c r="AR57" s="56" t="e">
        <f t="shared" si="24"/>
        <v>#DIV/0!</v>
      </c>
      <c r="AS57" s="88" t="e">
        <f t="shared" si="25"/>
        <v>#DIV/0!</v>
      </c>
    </row>
    <row r="58" spans="1:45" x14ac:dyDescent="0.25">
      <c r="A58" s="182"/>
      <c r="B58" s="143" t="s">
        <v>133</v>
      </c>
      <c r="C58" s="50"/>
      <c r="D58" s="50"/>
      <c r="E58" s="56" t="e">
        <f t="shared" si="26"/>
        <v>#DIV/0!</v>
      </c>
      <c r="F58" s="88" t="e">
        <f t="shared" si="27"/>
        <v>#DIV/0!</v>
      </c>
      <c r="H58" s="185"/>
      <c r="I58" s="143" t="s">
        <v>166</v>
      </c>
      <c r="J58" s="50"/>
      <c r="K58" s="50"/>
      <c r="L58" s="56" t="e">
        <f t="shared" si="28"/>
        <v>#DIV/0!</v>
      </c>
      <c r="M58" s="88" t="e">
        <f t="shared" si="29"/>
        <v>#DIV/0!</v>
      </c>
      <c r="N58" s="42"/>
      <c r="O58" s="41"/>
      <c r="P58" s="41"/>
      <c r="Q58" s="182"/>
      <c r="R58" s="143" t="s">
        <v>134</v>
      </c>
      <c r="S58" s="50"/>
      <c r="T58" s="50"/>
      <c r="U58" s="56" t="e">
        <f t="shared" si="18"/>
        <v>#DIV/0!</v>
      </c>
      <c r="V58" s="88" t="e">
        <f t="shared" si="19"/>
        <v>#DIV/0!</v>
      </c>
      <c r="X58" s="185"/>
      <c r="Y58" s="143" t="s">
        <v>167</v>
      </c>
      <c r="Z58" s="50"/>
      <c r="AA58" s="50"/>
      <c r="AB58" s="56" t="e">
        <f t="shared" si="20"/>
        <v>#DIV/0!</v>
      </c>
      <c r="AC58" s="88" t="e">
        <f t="shared" si="21"/>
        <v>#DIV/0!</v>
      </c>
      <c r="AG58" s="182"/>
      <c r="AH58" s="143" t="s">
        <v>134</v>
      </c>
      <c r="AI58" s="50"/>
      <c r="AJ58" s="50"/>
      <c r="AK58" s="56" t="e">
        <f t="shared" si="22"/>
        <v>#DIV/0!</v>
      </c>
      <c r="AL58" s="88" t="e">
        <f t="shared" si="23"/>
        <v>#DIV/0!</v>
      </c>
      <c r="AN58" s="185"/>
      <c r="AO58" s="143" t="s">
        <v>167</v>
      </c>
      <c r="AP58" s="50"/>
      <c r="AQ58" s="50"/>
      <c r="AR58" s="56" t="e">
        <f t="shared" si="24"/>
        <v>#DIV/0!</v>
      </c>
      <c r="AS58" s="88" t="e">
        <f t="shared" si="25"/>
        <v>#DIV/0!</v>
      </c>
    </row>
    <row r="59" spans="1:45" x14ac:dyDescent="0.25">
      <c r="A59" s="182"/>
      <c r="B59" s="143" t="s">
        <v>134</v>
      </c>
      <c r="C59" s="50"/>
      <c r="D59" s="50"/>
      <c r="E59" s="56" t="e">
        <f t="shared" si="26"/>
        <v>#DIV/0!</v>
      </c>
      <c r="F59" s="88" t="e">
        <f t="shared" si="27"/>
        <v>#DIV/0!</v>
      </c>
      <c r="H59" s="185"/>
      <c r="I59" s="143" t="s">
        <v>167</v>
      </c>
      <c r="J59" s="50"/>
      <c r="K59" s="50"/>
      <c r="L59" s="56" t="e">
        <f t="shared" si="28"/>
        <v>#DIV/0!</v>
      </c>
      <c r="M59" s="88" t="e">
        <f t="shared" si="29"/>
        <v>#DIV/0!</v>
      </c>
      <c r="N59" s="42"/>
      <c r="O59" s="41"/>
      <c r="P59" s="41"/>
      <c r="Q59" s="182"/>
      <c r="R59" s="143" t="s">
        <v>135</v>
      </c>
      <c r="S59" s="50"/>
      <c r="T59" s="50"/>
      <c r="U59" s="56" t="e">
        <f t="shared" si="18"/>
        <v>#DIV/0!</v>
      </c>
      <c r="V59" s="88" t="e">
        <f t="shared" si="19"/>
        <v>#DIV/0!</v>
      </c>
      <c r="X59" s="185"/>
      <c r="Y59" s="143" t="s">
        <v>168</v>
      </c>
      <c r="Z59" s="50"/>
      <c r="AA59" s="50"/>
      <c r="AB59" s="56" t="e">
        <f t="shared" si="20"/>
        <v>#DIV/0!</v>
      </c>
      <c r="AC59" s="88" t="e">
        <f t="shared" si="21"/>
        <v>#DIV/0!</v>
      </c>
      <c r="AG59" s="182"/>
      <c r="AH59" s="143" t="s">
        <v>135</v>
      </c>
      <c r="AI59" s="50"/>
      <c r="AJ59" s="50"/>
      <c r="AK59" s="56" t="e">
        <f t="shared" si="22"/>
        <v>#DIV/0!</v>
      </c>
      <c r="AL59" s="88" t="e">
        <f t="shared" si="23"/>
        <v>#DIV/0!</v>
      </c>
      <c r="AN59" s="185"/>
      <c r="AO59" s="143" t="s">
        <v>168</v>
      </c>
      <c r="AP59" s="50"/>
      <c r="AQ59" s="50"/>
      <c r="AR59" s="56" t="e">
        <f t="shared" si="24"/>
        <v>#DIV/0!</v>
      </c>
      <c r="AS59" s="88" t="e">
        <f t="shared" si="25"/>
        <v>#DIV/0!</v>
      </c>
    </row>
    <row r="60" spans="1:45" x14ac:dyDescent="0.25">
      <c r="A60" s="182"/>
      <c r="B60" s="143" t="s">
        <v>135</v>
      </c>
      <c r="C60" s="50"/>
      <c r="D60" s="50"/>
      <c r="E60" s="56" t="e">
        <f t="shared" si="26"/>
        <v>#DIV/0!</v>
      </c>
      <c r="F60" s="88" t="e">
        <f t="shared" si="27"/>
        <v>#DIV/0!</v>
      </c>
      <c r="H60" s="185"/>
      <c r="I60" s="143" t="s">
        <v>168</v>
      </c>
      <c r="J60" s="50"/>
      <c r="K60" s="50"/>
      <c r="L60" s="56" t="e">
        <f t="shared" si="28"/>
        <v>#DIV/0!</v>
      </c>
      <c r="M60" s="88" t="e">
        <f t="shared" si="29"/>
        <v>#DIV/0!</v>
      </c>
      <c r="N60" s="42"/>
      <c r="O60" s="41"/>
      <c r="P60" s="41"/>
      <c r="Q60" s="182"/>
      <c r="R60" s="143" t="s">
        <v>162</v>
      </c>
      <c r="S60" s="50"/>
      <c r="T60" s="50"/>
      <c r="U60" s="56" t="e">
        <f t="shared" si="18"/>
        <v>#DIV/0!</v>
      </c>
      <c r="V60" s="88" t="e">
        <f t="shared" si="19"/>
        <v>#DIV/0!</v>
      </c>
      <c r="X60" s="185"/>
      <c r="Y60" s="143" t="s">
        <v>136</v>
      </c>
      <c r="Z60" s="50"/>
      <c r="AA60" s="50"/>
      <c r="AB60" s="56" t="e">
        <f t="shared" si="20"/>
        <v>#DIV/0!</v>
      </c>
      <c r="AC60" s="88" t="e">
        <f t="shared" si="21"/>
        <v>#DIV/0!</v>
      </c>
      <c r="AG60" s="182"/>
      <c r="AH60" s="143" t="s">
        <v>162</v>
      </c>
      <c r="AI60" s="50"/>
      <c r="AJ60" s="50"/>
      <c r="AK60" s="56" t="e">
        <f t="shared" si="22"/>
        <v>#DIV/0!</v>
      </c>
      <c r="AL60" s="88" t="e">
        <f t="shared" si="23"/>
        <v>#DIV/0!</v>
      </c>
      <c r="AN60" s="185"/>
      <c r="AO60" s="143" t="s">
        <v>136</v>
      </c>
      <c r="AP60" s="50"/>
      <c r="AQ60" s="50"/>
      <c r="AR60" s="56" t="e">
        <f t="shared" si="24"/>
        <v>#DIV/0!</v>
      </c>
      <c r="AS60" s="88" t="e">
        <f t="shared" si="25"/>
        <v>#DIV/0!</v>
      </c>
    </row>
    <row r="61" spans="1:45" x14ac:dyDescent="0.25">
      <c r="A61" s="182"/>
      <c r="B61" s="143" t="s">
        <v>162</v>
      </c>
      <c r="C61" s="50"/>
      <c r="D61" s="50"/>
      <c r="E61" s="56" t="e">
        <f t="shared" si="26"/>
        <v>#DIV/0!</v>
      </c>
      <c r="F61" s="88" t="e">
        <f t="shared" si="27"/>
        <v>#DIV/0!</v>
      </c>
      <c r="H61" s="185"/>
      <c r="I61" s="143" t="s">
        <v>136</v>
      </c>
      <c r="J61" s="50"/>
      <c r="K61" s="50"/>
      <c r="L61" s="56" t="e">
        <f t="shared" si="28"/>
        <v>#DIV/0!</v>
      </c>
      <c r="M61" s="88" t="e">
        <f t="shared" si="29"/>
        <v>#DIV/0!</v>
      </c>
      <c r="N61" s="42"/>
      <c r="O61" s="41"/>
      <c r="P61" s="41"/>
      <c r="Q61" s="182"/>
      <c r="R61" s="143" t="s">
        <v>163</v>
      </c>
      <c r="S61" s="50"/>
      <c r="T61" s="50"/>
      <c r="U61" s="56" t="e">
        <f t="shared" si="18"/>
        <v>#DIV/0!</v>
      </c>
      <c r="V61" s="88" t="e">
        <f t="shared" si="19"/>
        <v>#DIV/0!</v>
      </c>
      <c r="X61" s="185"/>
      <c r="Y61" s="143" t="s">
        <v>137</v>
      </c>
      <c r="Z61" s="50"/>
      <c r="AA61" s="50"/>
      <c r="AB61" s="56" t="e">
        <f t="shared" si="20"/>
        <v>#DIV/0!</v>
      </c>
      <c r="AC61" s="88" t="e">
        <f t="shared" si="21"/>
        <v>#DIV/0!</v>
      </c>
      <c r="AG61" s="182"/>
      <c r="AH61" s="143" t="s">
        <v>163</v>
      </c>
      <c r="AI61" s="50"/>
      <c r="AJ61" s="50"/>
      <c r="AK61" s="56" t="e">
        <f t="shared" si="22"/>
        <v>#DIV/0!</v>
      </c>
      <c r="AL61" s="88" t="e">
        <f t="shared" si="23"/>
        <v>#DIV/0!</v>
      </c>
      <c r="AN61" s="185"/>
      <c r="AO61" s="143" t="s">
        <v>137</v>
      </c>
      <c r="AP61" s="50"/>
      <c r="AQ61" s="50"/>
      <c r="AR61" s="56" t="e">
        <f t="shared" si="24"/>
        <v>#DIV/0!</v>
      </c>
      <c r="AS61" s="88" t="e">
        <f t="shared" si="25"/>
        <v>#DIV/0!</v>
      </c>
    </row>
    <row r="62" spans="1:45" x14ac:dyDescent="0.25">
      <c r="A62" s="182"/>
      <c r="B62" s="143" t="s">
        <v>163</v>
      </c>
      <c r="C62" s="50"/>
      <c r="D62" s="50"/>
      <c r="E62" s="56" t="e">
        <f t="shared" si="26"/>
        <v>#DIV/0!</v>
      </c>
      <c r="F62" s="88" t="e">
        <f t="shared" si="27"/>
        <v>#DIV/0!</v>
      </c>
      <c r="H62" s="185"/>
      <c r="I62" s="143" t="s">
        <v>137</v>
      </c>
      <c r="J62" s="50"/>
      <c r="K62" s="50"/>
      <c r="L62" s="56" t="e">
        <f t="shared" si="28"/>
        <v>#DIV/0!</v>
      </c>
      <c r="M62" s="88" t="e">
        <f t="shared" si="29"/>
        <v>#DIV/0!</v>
      </c>
      <c r="N62" s="42"/>
      <c r="O62" s="41"/>
      <c r="P62" s="41"/>
      <c r="Q62" s="182"/>
      <c r="R62" s="143" t="s">
        <v>161</v>
      </c>
      <c r="S62" s="50"/>
      <c r="T62" s="50"/>
      <c r="U62" s="56" t="e">
        <f t="shared" si="18"/>
        <v>#DIV/0!</v>
      </c>
      <c r="V62" s="88" t="e">
        <f t="shared" si="19"/>
        <v>#DIV/0!</v>
      </c>
      <c r="X62" s="185"/>
      <c r="Y62" s="143" t="s">
        <v>138</v>
      </c>
      <c r="Z62" s="50"/>
      <c r="AA62" s="50"/>
      <c r="AB62" s="56" t="e">
        <f t="shared" si="20"/>
        <v>#DIV/0!</v>
      </c>
      <c r="AC62" s="88" t="e">
        <f t="shared" si="21"/>
        <v>#DIV/0!</v>
      </c>
      <c r="AG62" s="182"/>
      <c r="AH62" s="143" t="s">
        <v>161</v>
      </c>
      <c r="AI62" s="50"/>
      <c r="AJ62" s="50"/>
      <c r="AK62" s="56" t="e">
        <f t="shared" si="22"/>
        <v>#DIV/0!</v>
      </c>
      <c r="AL62" s="88" t="e">
        <f t="shared" si="23"/>
        <v>#DIV/0!</v>
      </c>
      <c r="AN62" s="185"/>
      <c r="AO62" s="143" t="s">
        <v>138</v>
      </c>
      <c r="AP62" s="50"/>
      <c r="AQ62" s="50"/>
      <c r="AR62" s="56" t="e">
        <f t="shared" si="24"/>
        <v>#DIV/0!</v>
      </c>
      <c r="AS62" s="88" t="e">
        <f t="shared" si="25"/>
        <v>#DIV/0!</v>
      </c>
    </row>
    <row r="63" spans="1:45" ht="15.75" thickBot="1" x14ac:dyDescent="0.3">
      <c r="A63" s="182"/>
      <c r="B63" s="143" t="s">
        <v>161</v>
      </c>
      <c r="C63" s="50"/>
      <c r="D63" s="50"/>
      <c r="E63" s="56" t="e">
        <f t="shared" si="26"/>
        <v>#DIV/0!</v>
      </c>
      <c r="F63" s="88" t="e">
        <f t="shared" si="27"/>
        <v>#DIV/0!</v>
      </c>
      <c r="H63" s="185"/>
      <c r="I63" s="143" t="s">
        <v>138</v>
      </c>
      <c r="J63" s="50"/>
      <c r="K63" s="50"/>
      <c r="L63" s="56" t="e">
        <f t="shared" si="28"/>
        <v>#DIV/0!</v>
      </c>
      <c r="M63" s="88" t="e">
        <f t="shared" si="29"/>
        <v>#DIV/0!</v>
      </c>
      <c r="N63" s="42"/>
      <c r="O63" s="41"/>
      <c r="P63" s="41"/>
      <c r="Q63" s="183"/>
      <c r="R63" s="144" t="s">
        <v>164</v>
      </c>
      <c r="S63" s="68"/>
      <c r="T63" s="68"/>
      <c r="U63" s="56" t="e">
        <f t="shared" si="18"/>
        <v>#DIV/0!</v>
      </c>
      <c r="V63" s="88" t="e">
        <f t="shared" si="19"/>
        <v>#DIV/0!</v>
      </c>
      <c r="X63" s="185"/>
      <c r="Y63" s="144" t="s">
        <v>139</v>
      </c>
      <c r="Z63" s="68"/>
      <c r="AA63" s="68"/>
      <c r="AB63" s="56" t="e">
        <f t="shared" si="20"/>
        <v>#DIV/0!</v>
      </c>
      <c r="AC63" s="88" t="e">
        <f t="shared" si="21"/>
        <v>#DIV/0!</v>
      </c>
      <c r="AG63" s="183"/>
      <c r="AH63" s="144" t="s">
        <v>164</v>
      </c>
      <c r="AI63" s="68"/>
      <c r="AJ63" s="68"/>
      <c r="AK63" s="56" t="e">
        <f t="shared" si="22"/>
        <v>#DIV/0!</v>
      </c>
      <c r="AL63" s="88" t="e">
        <f t="shared" si="23"/>
        <v>#DIV/0!</v>
      </c>
      <c r="AN63" s="185"/>
      <c r="AO63" s="144" t="s">
        <v>139</v>
      </c>
      <c r="AP63" s="68"/>
      <c r="AQ63" s="68"/>
      <c r="AR63" s="56" t="e">
        <f t="shared" si="24"/>
        <v>#DIV/0!</v>
      </c>
      <c r="AS63" s="88" t="e">
        <f t="shared" si="25"/>
        <v>#DIV/0!</v>
      </c>
    </row>
    <row r="64" spans="1:45" ht="15.75" thickBot="1" x14ac:dyDescent="0.3">
      <c r="A64" s="183"/>
      <c r="B64" s="144" t="s">
        <v>164</v>
      </c>
      <c r="C64" s="68"/>
      <c r="D64" s="68"/>
      <c r="E64" s="56" t="e">
        <f t="shared" si="26"/>
        <v>#DIV/0!</v>
      </c>
      <c r="F64" s="88" t="e">
        <f t="shared" si="27"/>
        <v>#DIV/0!</v>
      </c>
      <c r="H64" s="185"/>
      <c r="I64" s="144" t="s">
        <v>139</v>
      </c>
      <c r="J64" s="68"/>
      <c r="K64" s="68"/>
      <c r="L64" s="56" t="e">
        <f t="shared" si="28"/>
        <v>#DIV/0!</v>
      </c>
      <c r="M64" s="88" t="e">
        <f t="shared" si="29"/>
        <v>#DIV/0!</v>
      </c>
      <c r="N64" s="42"/>
      <c r="O64" s="41"/>
      <c r="P64" s="41"/>
      <c r="Q64" s="181" t="s">
        <v>156</v>
      </c>
      <c r="R64" s="101" t="s">
        <v>132</v>
      </c>
      <c r="S64" s="63"/>
      <c r="T64" s="63"/>
      <c r="U64" s="86" t="e">
        <f t="shared" si="18"/>
        <v>#DIV/0!</v>
      </c>
      <c r="V64" s="87" t="e">
        <f t="shared" si="19"/>
        <v>#DIV/0!</v>
      </c>
      <c r="X64" s="186"/>
      <c r="Y64" s="89" t="s">
        <v>140</v>
      </c>
      <c r="Z64" s="63"/>
      <c r="AA64" s="64"/>
      <c r="AB64" s="90" t="e">
        <f t="shared" si="20"/>
        <v>#DIV/0!</v>
      </c>
      <c r="AC64" s="91" t="e">
        <f t="shared" si="21"/>
        <v>#DIV/0!</v>
      </c>
      <c r="AG64" s="181" t="s">
        <v>156</v>
      </c>
      <c r="AH64" s="101" t="s">
        <v>132</v>
      </c>
      <c r="AI64" s="63"/>
      <c r="AJ64" s="63"/>
      <c r="AK64" s="86" t="e">
        <f t="shared" si="22"/>
        <v>#DIV/0!</v>
      </c>
      <c r="AL64" s="87" t="e">
        <f t="shared" si="23"/>
        <v>#DIV/0!</v>
      </c>
      <c r="AN64" s="186"/>
      <c r="AO64" s="89" t="s">
        <v>140</v>
      </c>
      <c r="AP64" s="63"/>
      <c r="AQ64" s="64"/>
      <c r="AR64" s="90" t="e">
        <f t="shared" si="24"/>
        <v>#DIV/0!</v>
      </c>
      <c r="AS64" s="91" t="e">
        <f t="shared" si="25"/>
        <v>#DIV/0!</v>
      </c>
    </row>
    <row r="65" spans="1:45" ht="15" customHeight="1" thickBot="1" x14ac:dyDescent="0.3">
      <c r="A65" s="181" t="s">
        <v>156</v>
      </c>
      <c r="B65" s="101" t="s">
        <v>132</v>
      </c>
      <c r="C65" s="63"/>
      <c r="D65" s="63"/>
      <c r="E65" s="86" t="e">
        <f t="shared" si="26"/>
        <v>#DIV/0!</v>
      </c>
      <c r="F65" s="87" t="e">
        <f t="shared" si="27"/>
        <v>#DIV/0!</v>
      </c>
      <c r="H65" s="186"/>
      <c r="I65" s="89" t="s">
        <v>140</v>
      </c>
      <c r="J65" s="63"/>
      <c r="K65" s="64"/>
      <c r="L65" s="90" t="e">
        <f t="shared" si="28"/>
        <v>#DIV/0!</v>
      </c>
      <c r="M65" s="91" t="e">
        <f t="shared" si="29"/>
        <v>#DIV/0!</v>
      </c>
      <c r="N65" s="42"/>
      <c r="O65" s="41"/>
      <c r="P65" s="41"/>
      <c r="Q65" s="182"/>
      <c r="R65" s="103" t="s">
        <v>133</v>
      </c>
      <c r="S65" s="50"/>
      <c r="T65" s="50"/>
      <c r="U65" s="56" t="e">
        <f t="shared" si="18"/>
        <v>#DIV/0!</v>
      </c>
      <c r="V65" s="88" t="e">
        <f t="shared" si="19"/>
        <v>#DIV/0!</v>
      </c>
      <c r="X65" s="187" t="s">
        <v>156</v>
      </c>
      <c r="Y65" s="101" t="s">
        <v>165</v>
      </c>
      <c r="Z65" s="63"/>
      <c r="AA65" s="63"/>
      <c r="AB65" s="86" t="e">
        <f t="shared" si="20"/>
        <v>#DIV/0!</v>
      </c>
      <c r="AC65" s="87" t="e">
        <f t="shared" si="21"/>
        <v>#DIV/0!</v>
      </c>
      <c r="AG65" s="182"/>
      <c r="AH65" s="103" t="s">
        <v>133</v>
      </c>
      <c r="AI65" s="50"/>
      <c r="AJ65" s="50"/>
      <c r="AK65" s="56" t="e">
        <f t="shared" si="22"/>
        <v>#DIV/0!</v>
      </c>
      <c r="AL65" s="88" t="e">
        <f t="shared" si="23"/>
        <v>#DIV/0!</v>
      </c>
      <c r="AN65" s="187" t="s">
        <v>156</v>
      </c>
      <c r="AO65" s="101" t="s">
        <v>165</v>
      </c>
      <c r="AP65" s="63"/>
      <c r="AQ65" s="63"/>
      <c r="AR65" s="86" t="e">
        <f t="shared" si="24"/>
        <v>#DIV/0!</v>
      </c>
      <c r="AS65" s="87" t="e">
        <f t="shared" si="25"/>
        <v>#DIV/0!</v>
      </c>
    </row>
    <row r="66" spans="1:45" ht="15" customHeight="1" x14ac:dyDescent="0.25">
      <c r="A66" s="182"/>
      <c r="B66" s="103" t="s">
        <v>133</v>
      </c>
      <c r="C66" s="50"/>
      <c r="D66" s="50"/>
      <c r="E66" s="56" t="e">
        <f t="shared" si="26"/>
        <v>#DIV/0!</v>
      </c>
      <c r="F66" s="88" t="e">
        <f t="shared" si="27"/>
        <v>#DIV/0!</v>
      </c>
      <c r="H66" s="187" t="s">
        <v>156</v>
      </c>
      <c r="I66" s="101" t="s">
        <v>165</v>
      </c>
      <c r="J66" s="63"/>
      <c r="K66" s="63"/>
      <c r="L66" s="86" t="e">
        <f t="shared" si="28"/>
        <v>#DIV/0!</v>
      </c>
      <c r="M66" s="87" t="e">
        <f t="shared" si="29"/>
        <v>#DIV/0!</v>
      </c>
      <c r="N66" s="42"/>
      <c r="O66" s="41"/>
      <c r="P66" s="41"/>
      <c r="Q66" s="182"/>
      <c r="R66" s="103" t="s">
        <v>134</v>
      </c>
      <c r="S66" s="50"/>
      <c r="T66" s="50"/>
      <c r="U66" s="56" t="e">
        <f t="shared" si="18"/>
        <v>#DIV/0!</v>
      </c>
      <c r="V66" s="88" t="e">
        <f t="shared" si="19"/>
        <v>#DIV/0!</v>
      </c>
      <c r="X66" s="188"/>
      <c r="Y66" s="103" t="s">
        <v>166</v>
      </c>
      <c r="Z66" s="50"/>
      <c r="AA66" s="50"/>
      <c r="AB66" s="56" t="e">
        <f t="shared" si="20"/>
        <v>#DIV/0!</v>
      </c>
      <c r="AC66" s="88" t="e">
        <f t="shared" si="21"/>
        <v>#DIV/0!</v>
      </c>
      <c r="AG66" s="182"/>
      <c r="AH66" s="103" t="s">
        <v>134</v>
      </c>
      <c r="AI66" s="50"/>
      <c r="AJ66" s="50"/>
      <c r="AK66" s="56" t="e">
        <f t="shared" si="22"/>
        <v>#DIV/0!</v>
      </c>
      <c r="AL66" s="88" t="e">
        <f t="shared" si="23"/>
        <v>#DIV/0!</v>
      </c>
      <c r="AN66" s="188"/>
      <c r="AO66" s="103" t="s">
        <v>166</v>
      </c>
      <c r="AP66" s="50"/>
      <c r="AQ66" s="50"/>
      <c r="AR66" s="56" t="e">
        <f t="shared" si="24"/>
        <v>#DIV/0!</v>
      </c>
      <c r="AS66" s="88" t="e">
        <f t="shared" si="25"/>
        <v>#DIV/0!</v>
      </c>
    </row>
    <row r="67" spans="1:45" ht="15" customHeight="1" x14ac:dyDescent="0.25">
      <c r="A67" s="182"/>
      <c r="B67" s="103" t="s">
        <v>134</v>
      </c>
      <c r="C67" s="50"/>
      <c r="D67" s="50"/>
      <c r="E67" s="56" t="e">
        <f t="shared" si="26"/>
        <v>#DIV/0!</v>
      </c>
      <c r="F67" s="88" t="e">
        <f t="shared" si="27"/>
        <v>#DIV/0!</v>
      </c>
      <c r="H67" s="188"/>
      <c r="I67" s="103" t="s">
        <v>166</v>
      </c>
      <c r="J67" s="50"/>
      <c r="K67" s="50"/>
      <c r="L67" s="56" t="e">
        <f t="shared" si="28"/>
        <v>#DIV/0!</v>
      </c>
      <c r="M67" s="88" t="e">
        <f t="shared" si="29"/>
        <v>#DIV/0!</v>
      </c>
      <c r="N67" s="42"/>
      <c r="O67" s="41"/>
      <c r="P67" s="41"/>
      <c r="Q67" s="182"/>
      <c r="R67" s="103" t="s">
        <v>135</v>
      </c>
      <c r="S67" s="50"/>
      <c r="T67" s="50"/>
      <c r="U67" s="56" t="e">
        <f t="shared" si="18"/>
        <v>#DIV/0!</v>
      </c>
      <c r="V67" s="88" t="e">
        <f t="shared" si="19"/>
        <v>#DIV/0!</v>
      </c>
      <c r="X67" s="188"/>
      <c r="Y67" s="103" t="s">
        <v>167</v>
      </c>
      <c r="Z67" s="50"/>
      <c r="AA67" s="50"/>
      <c r="AB67" s="56" t="e">
        <f t="shared" si="20"/>
        <v>#DIV/0!</v>
      </c>
      <c r="AC67" s="88" t="e">
        <f t="shared" si="21"/>
        <v>#DIV/0!</v>
      </c>
      <c r="AG67" s="182"/>
      <c r="AH67" s="103" t="s">
        <v>135</v>
      </c>
      <c r="AI67" s="50"/>
      <c r="AJ67" s="50"/>
      <c r="AK67" s="56" t="e">
        <f t="shared" si="22"/>
        <v>#DIV/0!</v>
      </c>
      <c r="AL67" s="88" t="e">
        <f t="shared" si="23"/>
        <v>#DIV/0!</v>
      </c>
      <c r="AN67" s="188"/>
      <c r="AO67" s="103" t="s">
        <v>167</v>
      </c>
      <c r="AP67" s="50"/>
      <c r="AQ67" s="50"/>
      <c r="AR67" s="56" t="e">
        <f t="shared" si="24"/>
        <v>#DIV/0!</v>
      </c>
      <c r="AS67" s="88" t="e">
        <f t="shared" si="25"/>
        <v>#DIV/0!</v>
      </c>
    </row>
    <row r="68" spans="1:45" x14ac:dyDescent="0.25">
      <c r="A68" s="182"/>
      <c r="B68" s="103" t="s">
        <v>135</v>
      </c>
      <c r="C68" s="50"/>
      <c r="D68" s="50"/>
      <c r="E68" s="56" t="e">
        <f t="shared" si="26"/>
        <v>#DIV/0!</v>
      </c>
      <c r="F68" s="88" t="e">
        <f t="shared" si="27"/>
        <v>#DIV/0!</v>
      </c>
      <c r="H68" s="188"/>
      <c r="I68" s="103" t="s">
        <v>167</v>
      </c>
      <c r="J68" s="50"/>
      <c r="K68" s="50"/>
      <c r="L68" s="56" t="e">
        <f t="shared" si="28"/>
        <v>#DIV/0!</v>
      </c>
      <c r="M68" s="88" t="e">
        <f t="shared" si="29"/>
        <v>#DIV/0!</v>
      </c>
      <c r="N68" s="42"/>
      <c r="O68" s="41"/>
      <c r="P68" s="41"/>
      <c r="Q68" s="182"/>
      <c r="R68" s="103" t="s">
        <v>162</v>
      </c>
      <c r="S68" s="50"/>
      <c r="T68" s="50"/>
      <c r="U68" s="56" t="e">
        <f t="shared" si="18"/>
        <v>#DIV/0!</v>
      </c>
      <c r="V68" s="88" t="e">
        <f t="shared" si="19"/>
        <v>#DIV/0!</v>
      </c>
      <c r="X68" s="188"/>
      <c r="Y68" s="103" t="s">
        <v>168</v>
      </c>
      <c r="Z68" s="50"/>
      <c r="AA68" s="50"/>
      <c r="AB68" s="56" t="e">
        <f t="shared" si="20"/>
        <v>#DIV/0!</v>
      </c>
      <c r="AC68" s="88" t="e">
        <f t="shared" si="21"/>
        <v>#DIV/0!</v>
      </c>
      <c r="AG68" s="182"/>
      <c r="AH68" s="103" t="s">
        <v>162</v>
      </c>
      <c r="AI68" s="50"/>
      <c r="AJ68" s="50"/>
      <c r="AK68" s="56" t="e">
        <f t="shared" si="22"/>
        <v>#DIV/0!</v>
      </c>
      <c r="AL68" s="88" t="e">
        <f t="shared" si="23"/>
        <v>#DIV/0!</v>
      </c>
      <c r="AN68" s="188"/>
      <c r="AO68" s="103" t="s">
        <v>168</v>
      </c>
      <c r="AP68" s="50"/>
      <c r="AQ68" s="50"/>
      <c r="AR68" s="56" t="e">
        <f t="shared" si="24"/>
        <v>#DIV/0!</v>
      </c>
      <c r="AS68" s="88" t="e">
        <f t="shared" si="25"/>
        <v>#DIV/0!</v>
      </c>
    </row>
    <row r="69" spans="1:45" x14ac:dyDescent="0.25">
      <c r="A69" s="182"/>
      <c r="B69" s="103" t="s">
        <v>162</v>
      </c>
      <c r="C69" s="50"/>
      <c r="D69" s="50"/>
      <c r="E69" s="56" t="e">
        <f t="shared" si="26"/>
        <v>#DIV/0!</v>
      </c>
      <c r="F69" s="88" t="e">
        <f t="shared" si="27"/>
        <v>#DIV/0!</v>
      </c>
      <c r="H69" s="188"/>
      <c r="I69" s="103" t="s">
        <v>168</v>
      </c>
      <c r="J69" s="50"/>
      <c r="K69" s="50"/>
      <c r="L69" s="56" t="e">
        <f t="shared" si="28"/>
        <v>#DIV/0!</v>
      </c>
      <c r="M69" s="88" t="e">
        <f t="shared" si="29"/>
        <v>#DIV/0!</v>
      </c>
      <c r="N69" s="42"/>
      <c r="O69" s="41"/>
      <c r="P69" s="41"/>
      <c r="Q69" s="182"/>
      <c r="R69" s="103" t="s">
        <v>163</v>
      </c>
      <c r="S69" s="50"/>
      <c r="T69" s="50"/>
      <c r="U69" s="56" t="e">
        <f t="shared" si="18"/>
        <v>#DIV/0!</v>
      </c>
      <c r="V69" s="88" t="e">
        <f t="shared" si="19"/>
        <v>#DIV/0!</v>
      </c>
      <c r="X69" s="188"/>
      <c r="Y69" s="103" t="s">
        <v>136</v>
      </c>
      <c r="Z69" s="50"/>
      <c r="AA69" s="50"/>
      <c r="AB69" s="56" t="e">
        <f t="shared" si="20"/>
        <v>#DIV/0!</v>
      </c>
      <c r="AC69" s="88" t="e">
        <f t="shared" si="21"/>
        <v>#DIV/0!</v>
      </c>
      <c r="AG69" s="182"/>
      <c r="AH69" s="103" t="s">
        <v>163</v>
      </c>
      <c r="AI69" s="50"/>
      <c r="AJ69" s="50"/>
      <c r="AK69" s="56" t="e">
        <f t="shared" si="22"/>
        <v>#DIV/0!</v>
      </c>
      <c r="AL69" s="88" t="e">
        <f t="shared" si="23"/>
        <v>#DIV/0!</v>
      </c>
      <c r="AN69" s="188"/>
      <c r="AO69" s="103" t="s">
        <v>136</v>
      </c>
      <c r="AP69" s="50"/>
      <c r="AQ69" s="50"/>
      <c r="AR69" s="56" t="e">
        <f t="shared" si="24"/>
        <v>#DIV/0!</v>
      </c>
      <c r="AS69" s="88" t="e">
        <f t="shared" si="25"/>
        <v>#DIV/0!</v>
      </c>
    </row>
    <row r="70" spans="1:45" x14ac:dyDescent="0.25">
      <c r="A70" s="182"/>
      <c r="B70" s="103" t="s">
        <v>163</v>
      </c>
      <c r="C70" s="50"/>
      <c r="D70" s="50"/>
      <c r="E70" s="56" t="e">
        <f t="shared" si="26"/>
        <v>#DIV/0!</v>
      </c>
      <c r="F70" s="88" t="e">
        <f t="shared" si="27"/>
        <v>#DIV/0!</v>
      </c>
      <c r="H70" s="188"/>
      <c r="I70" s="103" t="s">
        <v>136</v>
      </c>
      <c r="J70" s="50"/>
      <c r="K70" s="50"/>
      <c r="L70" s="56" t="e">
        <f t="shared" si="28"/>
        <v>#DIV/0!</v>
      </c>
      <c r="M70" s="88" t="e">
        <f t="shared" si="29"/>
        <v>#DIV/0!</v>
      </c>
      <c r="N70" s="42"/>
      <c r="O70" s="41"/>
      <c r="P70" s="41"/>
      <c r="Q70" s="182"/>
      <c r="R70" s="103" t="s">
        <v>161</v>
      </c>
      <c r="S70" s="50"/>
      <c r="T70" s="50"/>
      <c r="U70" s="56" t="e">
        <f t="shared" si="18"/>
        <v>#DIV/0!</v>
      </c>
      <c r="V70" s="88" t="e">
        <f t="shared" si="19"/>
        <v>#DIV/0!</v>
      </c>
      <c r="X70" s="188"/>
      <c r="Y70" s="103" t="s">
        <v>137</v>
      </c>
      <c r="Z70" s="50"/>
      <c r="AA70" s="50"/>
      <c r="AB70" s="56" t="e">
        <f t="shared" si="20"/>
        <v>#DIV/0!</v>
      </c>
      <c r="AC70" s="88" t="e">
        <f t="shared" si="21"/>
        <v>#DIV/0!</v>
      </c>
      <c r="AG70" s="182"/>
      <c r="AH70" s="103" t="s">
        <v>161</v>
      </c>
      <c r="AI70" s="50"/>
      <c r="AJ70" s="50"/>
      <c r="AK70" s="56" t="e">
        <f t="shared" si="22"/>
        <v>#DIV/0!</v>
      </c>
      <c r="AL70" s="88" t="e">
        <f t="shared" si="23"/>
        <v>#DIV/0!</v>
      </c>
      <c r="AN70" s="188"/>
      <c r="AO70" s="103" t="s">
        <v>137</v>
      </c>
      <c r="AP70" s="50"/>
      <c r="AQ70" s="50"/>
      <c r="AR70" s="56" t="e">
        <f t="shared" si="24"/>
        <v>#DIV/0!</v>
      </c>
      <c r="AS70" s="88" t="e">
        <f t="shared" si="25"/>
        <v>#DIV/0!</v>
      </c>
    </row>
    <row r="71" spans="1:45" ht="15.75" thickBot="1" x14ac:dyDescent="0.3">
      <c r="A71" s="182"/>
      <c r="B71" s="103" t="s">
        <v>161</v>
      </c>
      <c r="C71" s="50"/>
      <c r="D71" s="50"/>
      <c r="E71" s="56" t="e">
        <f t="shared" si="26"/>
        <v>#DIV/0!</v>
      </c>
      <c r="F71" s="88" t="e">
        <f t="shared" si="27"/>
        <v>#DIV/0!</v>
      </c>
      <c r="H71" s="188"/>
      <c r="I71" s="103" t="s">
        <v>137</v>
      </c>
      <c r="J71" s="50"/>
      <c r="K71" s="50"/>
      <c r="L71" s="56" t="e">
        <f t="shared" si="28"/>
        <v>#DIV/0!</v>
      </c>
      <c r="M71" s="88" t="e">
        <f t="shared" si="29"/>
        <v>#DIV/0!</v>
      </c>
      <c r="N71" s="42"/>
      <c r="O71" s="41"/>
      <c r="P71" s="41"/>
      <c r="Q71" s="182"/>
      <c r="R71" s="105" t="s">
        <v>164</v>
      </c>
      <c r="S71" s="68"/>
      <c r="T71" s="68"/>
      <c r="U71" s="56" t="e">
        <f t="shared" si="18"/>
        <v>#DIV/0!</v>
      </c>
      <c r="V71" s="88" t="e">
        <f t="shared" si="19"/>
        <v>#DIV/0!</v>
      </c>
      <c r="X71" s="188"/>
      <c r="Y71" s="103" t="s">
        <v>138</v>
      </c>
      <c r="Z71" s="50"/>
      <c r="AA71" s="50"/>
      <c r="AB71" s="56" t="e">
        <f t="shared" si="20"/>
        <v>#DIV/0!</v>
      </c>
      <c r="AC71" s="88" t="e">
        <f t="shared" si="21"/>
        <v>#DIV/0!</v>
      </c>
      <c r="AG71" s="182"/>
      <c r="AH71" s="105" t="s">
        <v>164</v>
      </c>
      <c r="AI71" s="68"/>
      <c r="AJ71" s="68"/>
      <c r="AK71" s="56" t="e">
        <f t="shared" si="22"/>
        <v>#DIV/0!</v>
      </c>
      <c r="AL71" s="88" t="e">
        <f t="shared" si="23"/>
        <v>#DIV/0!</v>
      </c>
      <c r="AN71" s="188"/>
      <c r="AO71" s="103" t="s">
        <v>138</v>
      </c>
      <c r="AP71" s="50"/>
      <c r="AQ71" s="50"/>
      <c r="AR71" s="56" t="e">
        <f t="shared" si="24"/>
        <v>#DIV/0!</v>
      </c>
      <c r="AS71" s="88" t="e">
        <f t="shared" si="25"/>
        <v>#DIV/0!</v>
      </c>
    </row>
    <row r="72" spans="1:45" ht="15.75" thickBot="1" x14ac:dyDescent="0.3">
      <c r="A72" s="182"/>
      <c r="B72" s="105" t="s">
        <v>164</v>
      </c>
      <c r="C72" s="68"/>
      <c r="D72" s="68"/>
      <c r="E72" s="56" t="e">
        <f t="shared" si="26"/>
        <v>#DIV/0!</v>
      </c>
      <c r="F72" s="88" t="e">
        <f t="shared" si="27"/>
        <v>#DIV/0!</v>
      </c>
      <c r="H72" s="188"/>
      <c r="I72" s="103" t="s">
        <v>138</v>
      </c>
      <c r="J72" s="50"/>
      <c r="K72" s="50"/>
      <c r="L72" s="56" t="e">
        <f t="shared" si="28"/>
        <v>#DIV/0!</v>
      </c>
      <c r="M72" s="88" t="e">
        <f t="shared" si="29"/>
        <v>#DIV/0!</v>
      </c>
      <c r="N72" s="42"/>
      <c r="O72" s="41"/>
      <c r="P72" s="41"/>
      <c r="Q72" s="182" t="s">
        <v>157</v>
      </c>
      <c r="R72" s="145" t="s">
        <v>132</v>
      </c>
      <c r="S72" s="63"/>
      <c r="T72" s="63"/>
      <c r="U72" s="86" t="e">
        <f t="shared" si="18"/>
        <v>#DIV/0!</v>
      </c>
      <c r="V72" s="87" t="e">
        <f t="shared" si="19"/>
        <v>#DIV/0!</v>
      </c>
      <c r="X72" s="188"/>
      <c r="Y72" s="105" t="s">
        <v>139</v>
      </c>
      <c r="Z72" s="68"/>
      <c r="AA72" s="68"/>
      <c r="AB72" s="56" t="e">
        <f t="shared" si="20"/>
        <v>#DIV/0!</v>
      </c>
      <c r="AC72" s="88" t="e">
        <f t="shared" si="21"/>
        <v>#DIV/0!</v>
      </c>
      <c r="AG72" s="182" t="s">
        <v>157</v>
      </c>
      <c r="AH72" s="145" t="s">
        <v>132</v>
      </c>
      <c r="AI72" s="63"/>
      <c r="AJ72" s="63"/>
      <c r="AK72" s="86" t="e">
        <f t="shared" si="22"/>
        <v>#DIV/0!</v>
      </c>
      <c r="AL72" s="87" t="e">
        <f t="shared" si="23"/>
        <v>#DIV/0!</v>
      </c>
      <c r="AN72" s="188"/>
      <c r="AO72" s="105" t="s">
        <v>139</v>
      </c>
      <c r="AP72" s="68"/>
      <c r="AQ72" s="68"/>
      <c r="AR72" s="56" t="e">
        <f t="shared" si="24"/>
        <v>#DIV/0!</v>
      </c>
      <c r="AS72" s="88" t="e">
        <f t="shared" si="25"/>
        <v>#DIV/0!</v>
      </c>
    </row>
    <row r="73" spans="1:45" ht="15" customHeight="1" thickBot="1" x14ac:dyDescent="0.3">
      <c r="A73" s="182" t="s">
        <v>157</v>
      </c>
      <c r="B73" s="145" t="s">
        <v>132</v>
      </c>
      <c r="C73" s="63"/>
      <c r="D73" s="63"/>
      <c r="E73" s="86" t="e">
        <f t="shared" si="26"/>
        <v>#DIV/0!</v>
      </c>
      <c r="F73" s="87" t="e">
        <f t="shared" si="27"/>
        <v>#DIV/0!</v>
      </c>
      <c r="H73" s="188"/>
      <c r="I73" s="105" t="s">
        <v>139</v>
      </c>
      <c r="J73" s="68"/>
      <c r="K73" s="68"/>
      <c r="L73" s="56" t="e">
        <f t="shared" si="28"/>
        <v>#DIV/0!</v>
      </c>
      <c r="M73" s="88" t="e">
        <f t="shared" si="29"/>
        <v>#DIV/0!</v>
      </c>
      <c r="N73" s="42"/>
      <c r="O73" s="41"/>
      <c r="P73" s="41"/>
      <c r="Q73" s="182"/>
      <c r="R73" s="146" t="s">
        <v>133</v>
      </c>
      <c r="S73" s="50"/>
      <c r="T73" s="50"/>
      <c r="U73" s="56" t="e">
        <f t="shared" si="18"/>
        <v>#DIV/0!</v>
      </c>
      <c r="V73" s="88" t="e">
        <f t="shared" si="19"/>
        <v>#DIV/0!</v>
      </c>
      <c r="X73" s="189"/>
      <c r="Y73" s="92" t="s">
        <v>140</v>
      </c>
      <c r="Z73" s="50"/>
      <c r="AA73" s="66"/>
      <c r="AB73" s="90" t="e">
        <f t="shared" si="20"/>
        <v>#DIV/0!</v>
      </c>
      <c r="AC73" s="91" t="e">
        <f t="shared" si="21"/>
        <v>#DIV/0!</v>
      </c>
      <c r="AG73" s="182"/>
      <c r="AH73" s="146" t="s">
        <v>133</v>
      </c>
      <c r="AI73" s="50"/>
      <c r="AJ73" s="50"/>
      <c r="AK73" s="56" t="e">
        <f t="shared" si="22"/>
        <v>#DIV/0!</v>
      </c>
      <c r="AL73" s="88" t="e">
        <f t="shared" si="23"/>
        <v>#DIV/0!</v>
      </c>
      <c r="AN73" s="189"/>
      <c r="AO73" s="92" t="s">
        <v>140</v>
      </c>
      <c r="AP73" s="50"/>
      <c r="AQ73" s="66"/>
      <c r="AR73" s="90" t="e">
        <f t="shared" si="24"/>
        <v>#DIV/0!</v>
      </c>
      <c r="AS73" s="91" t="e">
        <f t="shared" si="25"/>
        <v>#DIV/0!</v>
      </c>
    </row>
    <row r="74" spans="1:45" ht="15.75" customHeight="1" thickBot="1" x14ac:dyDescent="0.3">
      <c r="A74" s="182"/>
      <c r="B74" s="146" t="s">
        <v>133</v>
      </c>
      <c r="C74" s="50"/>
      <c r="D74" s="50"/>
      <c r="E74" s="56" t="e">
        <f t="shared" si="26"/>
        <v>#DIV/0!</v>
      </c>
      <c r="F74" s="88" t="e">
        <f t="shared" si="27"/>
        <v>#DIV/0!</v>
      </c>
      <c r="H74" s="189"/>
      <c r="I74" s="92" t="s">
        <v>140</v>
      </c>
      <c r="J74" s="50"/>
      <c r="K74" s="66"/>
      <c r="L74" s="90" t="e">
        <f t="shared" si="28"/>
        <v>#DIV/0!</v>
      </c>
      <c r="M74" s="91" t="e">
        <f t="shared" si="29"/>
        <v>#DIV/0!</v>
      </c>
      <c r="N74" s="42"/>
      <c r="O74" s="41"/>
      <c r="P74" s="41"/>
      <c r="Q74" s="182"/>
      <c r="R74" s="146" t="s">
        <v>134</v>
      </c>
      <c r="S74" s="50"/>
      <c r="T74" s="50"/>
      <c r="U74" s="56" t="e">
        <f t="shared" si="18"/>
        <v>#DIV/0!</v>
      </c>
      <c r="V74" s="88" t="e">
        <f t="shared" si="19"/>
        <v>#DIV/0!</v>
      </c>
      <c r="X74" s="187" t="s">
        <v>157</v>
      </c>
      <c r="Y74" s="145" t="s">
        <v>165</v>
      </c>
      <c r="Z74" s="63"/>
      <c r="AA74" s="63"/>
      <c r="AB74" s="86" t="e">
        <f t="shared" si="20"/>
        <v>#DIV/0!</v>
      </c>
      <c r="AC74" s="87" t="e">
        <f t="shared" si="21"/>
        <v>#DIV/0!</v>
      </c>
      <c r="AG74" s="182"/>
      <c r="AH74" s="146" t="s">
        <v>134</v>
      </c>
      <c r="AI74" s="50"/>
      <c r="AJ74" s="50"/>
      <c r="AK74" s="56" t="e">
        <f t="shared" si="22"/>
        <v>#DIV/0!</v>
      </c>
      <c r="AL74" s="88" t="e">
        <f t="shared" si="23"/>
        <v>#DIV/0!</v>
      </c>
      <c r="AN74" s="187" t="s">
        <v>157</v>
      </c>
      <c r="AO74" s="145" t="s">
        <v>165</v>
      </c>
      <c r="AP74" s="63"/>
      <c r="AQ74" s="63"/>
      <c r="AR74" s="86" t="e">
        <f t="shared" si="24"/>
        <v>#DIV/0!</v>
      </c>
      <c r="AS74" s="87" t="e">
        <f t="shared" si="25"/>
        <v>#DIV/0!</v>
      </c>
    </row>
    <row r="75" spans="1:45" ht="15" customHeight="1" x14ac:dyDescent="0.25">
      <c r="A75" s="182"/>
      <c r="B75" s="146" t="s">
        <v>134</v>
      </c>
      <c r="C75" s="50"/>
      <c r="D75" s="50"/>
      <c r="E75" s="56" t="e">
        <f t="shared" si="26"/>
        <v>#DIV/0!</v>
      </c>
      <c r="F75" s="88" t="e">
        <f t="shared" si="27"/>
        <v>#DIV/0!</v>
      </c>
      <c r="H75" s="187" t="s">
        <v>157</v>
      </c>
      <c r="I75" s="145" t="s">
        <v>165</v>
      </c>
      <c r="J75" s="63"/>
      <c r="K75" s="63"/>
      <c r="L75" s="86" t="e">
        <f t="shared" si="28"/>
        <v>#DIV/0!</v>
      </c>
      <c r="M75" s="87" t="e">
        <f t="shared" si="29"/>
        <v>#DIV/0!</v>
      </c>
      <c r="N75" s="42"/>
      <c r="O75" s="41"/>
      <c r="P75" s="41"/>
      <c r="Q75" s="182"/>
      <c r="R75" s="146" t="s">
        <v>135</v>
      </c>
      <c r="S75" s="50"/>
      <c r="T75" s="50"/>
      <c r="U75" s="56" t="e">
        <f t="shared" si="18"/>
        <v>#DIV/0!</v>
      </c>
      <c r="V75" s="88" t="e">
        <f t="shared" si="19"/>
        <v>#DIV/0!</v>
      </c>
      <c r="X75" s="188"/>
      <c r="Y75" s="146" t="s">
        <v>166</v>
      </c>
      <c r="Z75" s="50"/>
      <c r="AA75" s="50"/>
      <c r="AB75" s="56" t="e">
        <f t="shared" si="20"/>
        <v>#DIV/0!</v>
      </c>
      <c r="AC75" s="88" t="e">
        <f t="shared" si="21"/>
        <v>#DIV/0!</v>
      </c>
      <c r="AG75" s="182"/>
      <c r="AH75" s="146" t="s">
        <v>135</v>
      </c>
      <c r="AI75" s="50"/>
      <c r="AJ75" s="50"/>
      <c r="AK75" s="56" t="e">
        <f t="shared" si="22"/>
        <v>#DIV/0!</v>
      </c>
      <c r="AL75" s="88" t="e">
        <f t="shared" si="23"/>
        <v>#DIV/0!</v>
      </c>
      <c r="AN75" s="188"/>
      <c r="AO75" s="146" t="s">
        <v>166</v>
      </c>
      <c r="AP75" s="50"/>
      <c r="AQ75" s="50"/>
      <c r="AR75" s="56" t="e">
        <f t="shared" si="24"/>
        <v>#DIV/0!</v>
      </c>
      <c r="AS75" s="88" t="e">
        <f t="shared" si="25"/>
        <v>#DIV/0!</v>
      </c>
    </row>
    <row r="76" spans="1:45" ht="15" customHeight="1" x14ac:dyDescent="0.25">
      <c r="A76" s="182"/>
      <c r="B76" s="146" t="s">
        <v>135</v>
      </c>
      <c r="C76" s="50"/>
      <c r="D76" s="50"/>
      <c r="E76" s="56" t="e">
        <f t="shared" si="26"/>
        <v>#DIV/0!</v>
      </c>
      <c r="F76" s="88" t="e">
        <f t="shared" si="27"/>
        <v>#DIV/0!</v>
      </c>
      <c r="H76" s="188"/>
      <c r="I76" s="146" t="s">
        <v>166</v>
      </c>
      <c r="J76" s="50"/>
      <c r="K76" s="50"/>
      <c r="L76" s="56" t="e">
        <f t="shared" si="28"/>
        <v>#DIV/0!</v>
      </c>
      <c r="M76" s="88" t="e">
        <f t="shared" si="29"/>
        <v>#DIV/0!</v>
      </c>
      <c r="N76" s="42"/>
      <c r="O76" s="41"/>
      <c r="P76" s="41"/>
      <c r="Q76" s="182"/>
      <c r="R76" s="146" t="s">
        <v>162</v>
      </c>
      <c r="S76" s="50"/>
      <c r="T76" s="50"/>
      <c r="U76" s="56" t="e">
        <f t="shared" si="18"/>
        <v>#DIV/0!</v>
      </c>
      <c r="V76" s="88" t="e">
        <f t="shared" si="19"/>
        <v>#DIV/0!</v>
      </c>
      <c r="X76" s="188"/>
      <c r="Y76" s="146" t="s">
        <v>167</v>
      </c>
      <c r="Z76" s="50"/>
      <c r="AA76" s="50"/>
      <c r="AB76" s="56" t="e">
        <f t="shared" si="20"/>
        <v>#DIV/0!</v>
      </c>
      <c r="AC76" s="88" t="e">
        <f t="shared" si="21"/>
        <v>#DIV/0!</v>
      </c>
      <c r="AG76" s="182"/>
      <c r="AH76" s="146" t="s">
        <v>162</v>
      </c>
      <c r="AI76" s="50"/>
      <c r="AJ76" s="50"/>
      <c r="AK76" s="56" t="e">
        <f t="shared" si="22"/>
        <v>#DIV/0!</v>
      </c>
      <c r="AL76" s="88" t="e">
        <f t="shared" si="23"/>
        <v>#DIV/0!</v>
      </c>
      <c r="AN76" s="188"/>
      <c r="AO76" s="146" t="s">
        <v>167</v>
      </c>
      <c r="AP76" s="50"/>
      <c r="AQ76" s="50"/>
      <c r="AR76" s="56" t="e">
        <f t="shared" si="24"/>
        <v>#DIV/0!</v>
      </c>
      <c r="AS76" s="88" t="e">
        <f t="shared" si="25"/>
        <v>#DIV/0!</v>
      </c>
    </row>
    <row r="77" spans="1:45" x14ac:dyDescent="0.25">
      <c r="A77" s="182"/>
      <c r="B77" s="146" t="s">
        <v>162</v>
      </c>
      <c r="C77" s="50"/>
      <c r="D77" s="50"/>
      <c r="E77" s="56" t="e">
        <f t="shared" si="26"/>
        <v>#DIV/0!</v>
      </c>
      <c r="F77" s="88" t="e">
        <f t="shared" si="27"/>
        <v>#DIV/0!</v>
      </c>
      <c r="H77" s="188"/>
      <c r="I77" s="146" t="s">
        <v>167</v>
      </c>
      <c r="J77" s="50"/>
      <c r="K77" s="50"/>
      <c r="L77" s="56" t="e">
        <f t="shared" si="28"/>
        <v>#DIV/0!</v>
      </c>
      <c r="M77" s="88" t="e">
        <f t="shared" si="29"/>
        <v>#DIV/0!</v>
      </c>
      <c r="N77" s="42"/>
      <c r="O77" s="41"/>
      <c r="P77" s="41"/>
      <c r="Q77" s="182"/>
      <c r="R77" s="146" t="s">
        <v>163</v>
      </c>
      <c r="S77" s="50"/>
      <c r="T77" s="50"/>
      <c r="U77" s="56" t="e">
        <f t="shared" si="18"/>
        <v>#DIV/0!</v>
      </c>
      <c r="V77" s="88" t="e">
        <f t="shared" si="19"/>
        <v>#DIV/0!</v>
      </c>
      <c r="X77" s="188"/>
      <c r="Y77" s="146" t="s">
        <v>168</v>
      </c>
      <c r="Z77" s="50"/>
      <c r="AA77" s="50"/>
      <c r="AB77" s="56" t="e">
        <f t="shared" si="20"/>
        <v>#DIV/0!</v>
      </c>
      <c r="AC77" s="88" t="e">
        <f t="shared" si="21"/>
        <v>#DIV/0!</v>
      </c>
      <c r="AG77" s="182"/>
      <c r="AH77" s="146" t="s">
        <v>163</v>
      </c>
      <c r="AI77" s="50"/>
      <c r="AJ77" s="50"/>
      <c r="AK77" s="56" t="e">
        <f t="shared" si="22"/>
        <v>#DIV/0!</v>
      </c>
      <c r="AL77" s="88" t="e">
        <f t="shared" si="23"/>
        <v>#DIV/0!</v>
      </c>
      <c r="AN77" s="188"/>
      <c r="AO77" s="146" t="s">
        <v>168</v>
      </c>
      <c r="AP77" s="50"/>
      <c r="AQ77" s="50"/>
      <c r="AR77" s="56" t="e">
        <f t="shared" si="24"/>
        <v>#DIV/0!</v>
      </c>
      <c r="AS77" s="88" t="e">
        <f t="shared" si="25"/>
        <v>#DIV/0!</v>
      </c>
    </row>
    <row r="78" spans="1:45" x14ac:dyDescent="0.25">
      <c r="A78" s="182"/>
      <c r="B78" s="146" t="s">
        <v>163</v>
      </c>
      <c r="C78" s="50"/>
      <c r="D78" s="50"/>
      <c r="E78" s="56" t="e">
        <f t="shared" si="26"/>
        <v>#DIV/0!</v>
      </c>
      <c r="F78" s="88" t="e">
        <f t="shared" si="27"/>
        <v>#DIV/0!</v>
      </c>
      <c r="H78" s="188"/>
      <c r="I78" s="146" t="s">
        <v>168</v>
      </c>
      <c r="J78" s="50"/>
      <c r="K78" s="50"/>
      <c r="L78" s="56" t="e">
        <f t="shared" si="28"/>
        <v>#DIV/0!</v>
      </c>
      <c r="M78" s="88" t="e">
        <f t="shared" si="29"/>
        <v>#DIV/0!</v>
      </c>
      <c r="N78" s="42"/>
      <c r="O78" s="41"/>
      <c r="P78" s="41"/>
      <c r="Q78" s="182"/>
      <c r="R78" s="146" t="s">
        <v>161</v>
      </c>
      <c r="S78" s="50"/>
      <c r="T78" s="50"/>
      <c r="U78" s="56" t="e">
        <f t="shared" si="18"/>
        <v>#DIV/0!</v>
      </c>
      <c r="V78" s="88" t="e">
        <f t="shared" si="19"/>
        <v>#DIV/0!</v>
      </c>
      <c r="X78" s="188"/>
      <c r="Y78" s="146" t="s">
        <v>136</v>
      </c>
      <c r="Z78" s="50"/>
      <c r="AA78" s="50"/>
      <c r="AB78" s="56" t="e">
        <f t="shared" si="20"/>
        <v>#DIV/0!</v>
      </c>
      <c r="AC78" s="88" t="e">
        <f t="shared" si="21"/>
        <v>#DIV/0!</v>
      </c>
      <c r="AG78" s="182"/>
      <c r="AH78" s="146" t="s">
        <v>161</v>
      </c>
      <c r="AI78" s="50"/>
      <c r="AJ78" s="50"/>
      <c r="AK78" s="56" t="e">
        <f t="shared" si="22"/>
        <v>#DIV/0!</v>
      </c>
      <c r="AL78" s="88" t="e">
        <f t="shared" si="23"/>
        <v>#DIV/0!</v>
      </c>
      <c r="AN78" s="188"/>
      <c r="AO78" s="146" t="s">
        <v>136</v>
      </c>
      <c r="AP78" s="50"/>
      <c r="AQ78" s="50"/>
      <c r="AR78" s="56" t="e">
        <f t="shared" si="24"/>
        <v>#DIV/0!</v>
      </c>
      <c r="AS78" s="88" t="e">
        <f t="shared" si="25"/>
        <v>#DIV/0!</v>
      </c>
    </row>
    <row r="79" spans="1:45" ht="15.75" thickBot="1" x14ac:dyDescent="0.3">
      <c r="A79" s="182"/>
      <c r="B79" s="146" t="s">
        <v>161</v>
      </c>
      <c r="C79" s="50"/>
      <c r="D79" s="50"/>
      <c r="E79" s="56" t="e">
        <f t="shared" ref="E79:E85" si="30">AVERAGE(C79:D79)</f>
        <v>#DIV/0!</v>
      </c>
      <c r="F79" s="88" t="e">
        <f t="shared" ref="F79:F85" si="31">(E79-$G$35)/$G$34</f>
        <v>#DIV/0!</v>
      </c>
      <c r="H79" s="188"/>
      <c r="I79" s="146" t="s">
        <v>136</v>
      </c>
      <c r="J79" s="50"/>
      <c r="K79" s="50"/>
      <c r="L79" s="56" t="e">
        <f t="shared" si="28"/>
        <v>#DIV/0!</v>
      </c>
      <c r="M79" s="88" t="e">
        <f t="shared" si="29"/>
        <v>#DIV/0!</v>
      </c>
      <c r="N79" s="42"/>
      <c r="O79" s="41"/>
      <c r="P79" s="41"/>
      <c r="Q79" s="182"/>
      <c r="R79" s="147" t="s">
        <v>164</v>
      </c>
      <c r="S79" s="68"/>
      <c r="T79" s="68"/>
      <c r="U79" s="56" t="e">
        <f t="shared" si="18"/>
        <v>#DIV/0!</v>
      </c>
      <c r="V79" s="88" t="e">
        <f t="shared" si="19"/>
        <v>#DIV/0!</v>
      </c>
      <c r="X79" s="188"/>
      <c r="Y79" s="146" t="s">
        <v>137</v>
      </c>
      <c r="Z79" s="50"/>
      <c r="AA79" s="50"/>
      <c r="AB79" s="56" t="e">
        <f t="shared" si="20"/>
        <v>#DIV/0!</v>
      </c>
      <c r="AC79" s="88" t="e">
        <f t="shared" si="21"/>
        <v>#DIV/0!</v>
      </c>
      <c r="AG79" s="182"/>
      <c r="AH79" s="147" t="s">
        <v>164</v>
      </c>
      <c r="AI79" s="68"/>
      <c r="AJ79" s="68"/>
      <c r="AK79" s="56" t="e">
        <f t="shared" si="22"/>
        <v>#DIV/0!</v>
      </c>
      <c r="AL79" s="88" t="e">
        <f t="shared" si="23"/>
        <v>#DIV/0!</v>
      </c>
      <c r="AN79" s="188"/>
      <c r="AO79" s="146" t="s">
        <v>137</v>
      </c>
      <c r="AP79" s="50"/>
      <c r="AQ79" s="50"/>
      <c r="AR79" s="56" t="e">
        <f t="shared" si="24"/>
        <v>#DIV/0!</v>
      </c>
      <c r="AS79" s="88" t="e">
        <f t="shared" si="25"/>
        <v>#DIV/0!</v>
      </c>
    </row>
    <row r="80" spans="1:45" ht="15.75" thickBot="1" x14ac:dyDescent="0.3">
      <c r="A80" s="182"/>
      <c r="B80" s="147" t="s">
        <v>164</v>
      </c>
      <c r="C80" s="68"/>
      <c r="D80" s="68"/>
      <c r="E80" s="56" t="e">
        <f t="shared" si="30"/>
        <v>#DIV/0!</v>
      </c>
      <c r="F80" s="88" t="e">
        <f t="shared" si="31"/>
        <v>#DIV/0!</v>
      </c>
      <c r="H80" s="188"/>
      <c r="I80" s="146" t="s">
        <v>137</v>
      </c>
      <c r="J80" s="50"/>
      <c r="K80" s="50"/>
      <c r="L80" s="56" t="e">
        <f t="shared" si="28"/>
        <v>#DIV/0!</v>
      </c>
      <c r="M80" s="88" t="e">
        <f t="shared" si="29"/>
        <v>#DIV/0!</v>
      </c>
      <c r="N80" s="42"/>
      <c r="O80" s="41"/>
      <c r="P80" s="41"/>
      <c r="Q80" s="182" t="s">
        <v>158</v>
      </c>
      <c r="R80" s="148" t="s">
        <v>132</v>
      </c>
      <c r="S80" s="63"/>
      <c r="T80" s="63"/>
      <c r="U80" s="86" t="e">
        <f t="shared" si="18"/>
        <v>#DIV/0!</v>
      </c>
      <c r="V80" s="87" t="e">
        <f t="shared" si="19"/>
        <v>#DIV/0!</v>
      </c>
      <c r="W80" s="42"/>
      <c r="X80" s="188"/>
      <c r="Y80" s="146" t="s">
        <v>138</v>
      </c>
      <c r="Z80" s="50"/>
      <c r="AA80" s="50"/>
      <c r="AB80" s="56" t="e">
        <f t="shared" si="20"/>
        <v>#DIV/0!</v>
      </c>
      <c r="AC80" s="88" t="e">
        <f t="shared" si="21"/>
        <v>#DIV/0!</v>
      </c>
      <c r="AG80" s="182" t="s">
        <v>158</v>
      </c>
      <c r="AH80" s="148" t="s">
        <v>132</v>
      </c>
      <c r="AI80" s="63"/>
      <c r="AJ80" s="63"/>
      <c r="AK80" s="86" t="e">
        <f t="shared" si="22"/>
        <v>#DIV/0!</v>
      </c>
      <c r="AL80" s="87" t="e">
        <f t="shared" si="23"/>
        <v>#DIV/0!</v>
      </c>
      <c r="AM80" s="42"/>
      <c r="AN80" s="188"/>
      <c r="AO80" s="146" t="s">
        <v>138</v>
      </c>
      <c r="AP80" s="50"/>
      <c r="AQ80" s="50"/>
      <c r="AR80" s="56" t="e">
        <f t="shared" si="24"/>
        <v>#DIV/0!</v>
      </c>
      <c r="AS80" s="88" t="e">
        <f t="shared" si="25"/>
        <v>#DIV/0!</v>
      </c>
    </row>
    <row r="81" spans="1:45" ht="15" customHeight="1" thickBot="1" x14ac:dyDescent="0.3">
      <c r="A81" s="182" t="s">
        <v>158</v>
      </c>
      <c r="B81" s="148" t="s">
        <v>132</v>
      </c>
      <c r="C81" s="63"/>
      <c r="D81" s="63"/>
      <c r="E81" s="86" t="e">
        <f t="shared" si="30"/>
        <v>#DIV/0!</v>
      </c>
      <c r="F81" s="87" t="e">
        <f t="shared" si="31"/>
        <v>#DIV/0!</v>
      </c>
      <c r="G81" s="42"/>
      <c r="H81" s="188"/>
      <c r="I81" s="146" t="s">
        <v>138</v>
      </c>
      <c r="J81" s="50"/>
      <c r="K81" s="50"/>
      <c r="L81" s="56" t="e">
        <f t="shared" si="28"/>
        <v>#DIV/0!</v>
      </c>
      <c r="M81" s="88" t="e">
        <f t="shared" si="29"/>
        <v>#DIV/0!</v>
      </c>
      <c r="N81" s="42"/>
      <c r="O81" s="41"/>
      <c r="P81" s="41"/>
      <c r="Q81" s="182"/>
      <c r="R81" s="149" t="s">
        <v>133</v>
      </c>
      <c r="S81" s="50"/>
      <c r="T81" s="50"/>
      <c r="U81" s="56" t="e">
        <f t="shared" si="18"/>
        <v>#DIV/0!</v>
      </c>
      <c r="V81" s="88" t="e">
        <f t="shared" si="19"/>
        <v>#DIV/0!</v>
      </c>
      <c r="W81" s="42"/>
      <c r="X81" s="188"/>
      <c r="Y81" s="147" t="s">
        <v>139</v>
      </c>
      <c r="Z81" s="68"/>
      <c r="AA81" s="68"/>
      <c r="AB81" s="56" t="e">
        <f t="shared" si="20"/>
        <v>#DIV/0!</v>
      </c>
      <c r="AC81" s="88" t="e">
        <f t="shared" si="21"/>
        <v>#DIV/0!</v>
      </c>
      <c r="AG81" s="182"/>
      <c r="AH81" s="149" t="s">
        <v>133</v>
      </c>
      <c r="AI81" s="50"/>
      <c r="AJ81" s="50"/>
      <c r="AK81" s="56" t="e">
        <f t="shared" si="22"/>
        <v>#DIV/0!</v>
      </c>
      <c r="AL81" s="88" t="e">
        <f t="shared" si="23"/>
        <v>#DIV/0!</v>
      </c>
      <c r="AM81" s="42"/>
      <c r="AN81" s="188"/>
      <c r="AO81" s="147" t="s">
        <v>139</v>
      </c>
      <c r="AP81" s="68"/>
      <c r="AQ81" s="68"/>
      <c r="AR81" s="56" t="e">
        <f t="shared" si="24"/>
        <v>#DIV/0!</v>
      </c>
      <c r="AS81" s="88" t="e">
        <f t="shared" si="25"/>
        <v>#DIV/0!</v>
      </c>
    </row>
    <row r="82" spans="1:45" ht="15.75" thickBot="1" x14ac:dyDescent="0.3">
      <c r="A82" s="182"/>
      <c r="B82" s="149" t="s">
        <v>133</v>
      </c>
      <c r="C82" s="50"/>
      <c r="D82" s="50"/>
      <c r="E82" s="56" t="e">
        <f t="shared" si="30"/>
        <v>#DIV/0!</v>
      </c>
      <c r="F82" s="88" t="e">
        <f t="shared" si="31"/>
        <v>#DIV/0!</v>
      </c>
      <c r="G82" s="42"/>
      <c r="H82" s="188"/>
      <c r="I82" s="147" t="s">
        <v>139</v>
      </c>
      <c r="J82" s="68"/>
      <c r="K82" s="68"/>
      <c r="L82" s="56" t="e">
        <f t="shared" si="28"/>
        <v>#DIV/0!</v>
      </c>
      <c r="M82" s="88" t="e">
        <f t="shared" si="29"/>
        <v>#DIV/0!</v>
      </c>
      <c r="N82" s="41"/>
      <c r="O82" s="41"/>
      <c r="P82" s="41"/>
      <c r="Q82" s="182"/>
      <c r="R82" s="149" t="s">
        <v>134</v>
      </c>
      <c r="S82" s="50"/>
      <c r="T82" s="50"/>
      <c r="U82" s="56" t="e">
        <f t="shared" si="18"/>
        <v>#DIV/0!</v>
      </c>
      <c r="V82" s="88" t="e">
        <f t="shared" si="19"/>
        <v>#DIV/0!</v>
      </c>
      <c r="W82" s="42"/>
      <c r="X82" s="188"/>
      <c r="Y82" s="154" t="s">
        <v>140</v>
      </c>
      <c r="Z82" s="50"/>
      <c r="AA82" s="66"/>
      <c r="AB82" s="56" t="e">
        <f t="shared" si="20"/>
        <v>#DIV/0!</v>
      </c>
      <c r="AC82" s="88" t="e">
        <f t="shared" si="21"/>
        <v>#DIV/0!</v>
      </c>
      <c r="AG82" s="182"/>
      <c r="AH82" s="149" t="s">
        <v>134</v>
      </c>
      <c r="AI82" s="50"/>
      <c r="AJ82" s="50"/>
      <c r="AK82" s="56" t="e">
        <f t="shared" si="22"/>
        <v>#DIV/0!</v>
      </c>
      <c r="AL82" s="88" t="e">
        <f t="shared" si="23"/>
        <v>#DIV/0!</v>
      </c>
      <c r="AM82" s="42"/>
      <c r="AN82" s="188"/>
      <c r="AO82" s="154" t="s">
        <v>140</v>
      </c>
      <c r="AP82" s="50"/>
      <c r="AQ82" s="66"/>
      <c r="AR82" s="56" t="e">
        <f t="shared" si="24"/>
        <v>#DIV/0!</v>
      </c>
      <c r="AS82" s="88" t="e">
        <f t="shared" si="25"/>
        <v>#DIV/0!</v>
      </c>
    </row>
    <row r="83" spans="1:45" ht="15.75" customHeight="1" thickBot="1" x14ac:dyDescent="0.3">
      <c r="A83" s="182"/>
      <c r="B83" s="149" t="s">
        <v>134</v>
      </c>
      <c r="C83" s="50"/>
      <c r="D83" s="50"/>
      <c r="E83" s="56" t="e">
        <f t="shared" si="30"/>
        <v>#DIV/0!</v>
      </c>
      <c r="F83" s="88" t="e">
        <f t="shared" si="31"/>
        <v>#DIV/0!</v>
      </c>
      <c r="G83" s="42"/>
      <c r="H83" s="188"/>
      <c r="I83" s="154" t="s">
        <v>140</v>
      </c>
      <c r="J83" s="50"/>
      <c r="K83" s="66"/>
      <c r="L83" s="56" t="e">
        <f t="shared" si="28"/>
        <v>#DIV/0!</v>
      </c>
      <c r="M83" s="88" t="e">
        <f t="shared" si="29"/>
        <v>#DIV/0!</v>
      </c>
      <c r="Q83" s="182"/>
      <c r="R83" s="149" t="s">
        <v>135</v>
      </c>
      <c r="S83" s="50"/>
      <c r="T83" s="50"/>
      <c r="U83" s="56" t="e">
        <f t="shared" si="18"/>
        <v>#DIV/0!</v>
      </c>
      <c r="V83" s="88" t="e">
        <f t="shared" si="19"/>
        <v>#DIV/0!</v>
      </c>
      <c r="W83" s="42"/>
      <c r="X83" s="184" t="s">
        <v>158</v>
      </c>
      <c r="Y83" s="148" t="s">
        <v>165</v>
      </c>
      <c r="Z83" s="152"/>
      <c r="AA83" s="152"/>
      <c r="AB83" s="86" t="e">
        <f t="shared" si="20"/>
        <v>#DIV/0!</v>
      </c>
      <c r="AC83" s="87" t="e">
        <f t="shared" si="21"/>
        <v>#DIV/0!</v>
      </c>
      <c r="AG83" s="182"/>
      <c r="AH83" s="149" t="s">
        <v>135</v>
      </c>
      <c r="AI83" s="50"/>
      <c r="AJ83" s="50"/>
      <c r="AK83" s="56" t="e">
        <f t="shared" si="22"/>
        <v>#DIV/0!</v>
      </c>
      <c r="AL83" s="88" t="e">
        <f t="shared" si="23"/>
        <v>#DIV/0!</v>
      </c>
      <c r="AM83" s="42"/>
      <c r="AN83" s="184" t="s">
        <v>158</v>
      </c>
      <c r="AO83" s="148" t="s">
        <v>165</v>
      </c>
      <c r="AP83" s="152"/>
      <c r="AQ83" s="152"/>
      <c r="AR83" s="86" t="e">
        <f t="shared" si="24"/>
        <v>#DIV/0!</v>
      </c>
      <c r="AS83" s="87" t="e">
        <f t="shared" si="25"/>
        <v>#DIV/0!</v>
      </c>
    </row>
    <row r="84" spans="1:45" ht="15" customHeight="1" x14ac:dyDescent="0.25">
      <c r="A84" s="182"/>
      <c r="B84" s="149" t="s">
        <v>135</v>
      </c>
      <c r="C84" s="50"/>
      <c r="D84" s="50"/>
      <c r="E84" s="56" t="e">
        <f t="shared" si="30"/>
        <v>#DIV/0!</v>
      </c>
      <c r="F84" s="88" t="e">
        <f t="shared" si="31"/>
        <v>#DIV/0!</v>
      </c>
      <c r="G84" s="42"/>
      <c r="H84" s="184" t="s">
        <v>158</v>
      </c>
      <c r="I84" s="148" t="s">
        <v>165</v>
      </c>
      <c r="J84" s="152"/>
      <c r="K84" s="152"/>
      <c r="L84" s="86" t="e">
        <f t="shared" si="28"/>
        <v>#DIV/0!</v>
      </c>
      <c r="M84" s="87" t="e">
        <f t="shared" si="29"/>
        <v>#DIV/0!</v>
      </c>
      <c r="Q84" s="182"/>
      <c r="R84" s="149" t="s">
        <v>162</v>
      </c>
      <c r="S84" s="50"/>
      <c r="T84" s="50"/>
      <c r="U84" s="56" t="e">
        <f t="shared" si="18"/>
        <v>#DIV/0!</v>
      </c>
      <c r="V84" s="88" t="e">
        <f t="shared" si="19"/>
        <v>#DIV/0!</v>
      </c>
      <c r="W84" s="42"/>
      <c r="X84" s="185"/>
      <c r="Y84" s="149" t="s">
        <v>166</v>
      </c>
      <c r="Z84" s="50"/>
      <c r="AA84" s="50"/>
      <c r="AB84" s="56" t="e">
        <f t="shared" si="20"/>
        <v>#DIV/0!</v>
      </c>
      <c r="AC84" s="88" t="e">
        <f t="shared" si="21"/>
        <v>#DIV/0!</v>
      </c>
      <c r="AG84" s="182"/>
      <c r="AH84" s="149" t="s">
        <v>162</v>
      </c>
      <c r="AI84" s="50"/>
      <c r="AJ84" s="50"/>
      <c r="AK84" s="56" t="e">
        <f t="shared" si="22"/>
        <v>#DIV/0!</v>
      </c>
      <c r="AL84" s="88" t="e">
        <f t="shared" si="23"/>
        <v>#DIV/0!</v>
      </c>
      <c r="AM84" s="42"/>
      <c r="AN84" s="185"/>
      <c r="AO84" s="149" t="s">
        <v>166</v>
      </c>
      <c r="AP84" s="50"/>
      <c r="AQ84" s="50"/>
      <c r="AR84" s="56" t="e">
        <f t="shared" si="24"/>
        <v>#DIV/0!</v>
      </c>
      <c r="AS84" s="88" t="e">
        <f t="shared" si="25"/>
        <v>#DIV/0!</v>
      </c>
    </row>
    <row r="85" spans="1:45" ht="15" customHeight="1" x14ac:dyDescent="0.25">
      <c r="A85" s="182"/>
      <c r="B85" s="149" t="s">
        <v>162</v>
      </c>
      <c r="C85" s="50"/>
      <c r="D85" s="50"/>
      <c r="E85" s="56" t="e">
        <f t="shared" si="30"/>
        <v>#DIV/0!</v>
      </c>
      <c r="F85" s="88" t="e">
        <f t="shared" si="31"/>
        <v>#DIV/0!</v>
      </c>
      <c r="G85" s="42"/>
      <c r="H85" s="185"/>
      <c r="I85" s="149" t="s">
        <v>166</v>
      </c>
      <c r="J85" s="50"/>
      <c r="K85" s="50"/>
      <c r="L85" s="56" t="e">
        <f t="shared" si="28"/>
        <v>#DIV/0!</v>
      </c>
      <c r="M85" s="88" t="e">
        <f t="shared" si="29"/>
        <v>#DIV/0!</v>
      </c>
      <c r="Q85" s="182"/>
      <c r="R85" s="149" t="s">
        <v>163</v>
      </c>
      <c r="S85" s="50"/>
      <c r="T85" s="50"/>
      <c r="U85" s="56" t="e">
        <f t="shared" si="18"/>
        <v>#DIV/0!</v>
      </c>
      <c r="V85" s="88" t="e">
        <f t="shared" si="19"/>
        <v>#DIV/0!</v>
      </c>
      <c r="W85" s="42"/>
      <c r="X85" s="185"/>
      <c r="Y85" s="149" t="s">
        <v>167</v>
      </c>
      <c r="Z85" s="50"/>
      <c r="AA85" s="50"/>
      <c r="AB85" s="56" t="e">
        <f t="shared" si="20"/>
        <v>#DIV/0!</v>
      </c>
      <c r="AC85" s="88" t="e">
        <f t="shared" si="21"/>
        <v>#DIV/0!</v>
      </c>
      <c r="AG85" s="182"/>
      <c r="AH85" s="149" t="s">
        <v>163</v>
      </c>
      <c r="AI85" s="50"/>
      <c r="AJ85" s="50"/>
      <c r="AK85" s="56" t="e">
        <f t="shared" si="22"/>
        <v>#DIV/0!</v>
      </c>
      <c r="AL85" s="88" t="e">
        <f t="shared" si="23"/>
        <v>#DIV/0!</v>
      </c>
      <c r="AM85" s="42"/>
      <c r="AN85" s="185"/>
      <c r="AO85" s="149" t="s">
        <v>167</v>
      </c>
      <c r="AP85" s="50"/>
      <c r="AQ85" s="50"/>
      <c r="AR85" s="56" t="e">
        <f t="shared" si="24"/>
        <v>#DIV/0!</v>
      </c>
      <c r="AS85" s="88" t="e">
        <f t="shared" si="25"/>
        <v>#DIV/0!</v>
      </c>
    </row>
    <row r="86" spans="1:45" x14ac:dyDescent="0.25">
      <c r="A86" s="182"/>
      <c r="B86" s="149" t="s">
        <v>163</v>
      </c>
      <c r="C86" s="50"/>
      <c r="D86" s="50"/>
      <c r="E86" s="56" t="e">
        <f t="shared" ref="E86:E88" si="32">AVERAGE(C86:D86)</f>
        <v>#DIV/0!</v>
      </c>
      <c r="F86" s="88" t="e">
        <f t="shared" ref="F86:F88" si="33">(E86-$G$35)/$G$34</f>
        <v>#DIV/0!</v>
      </c>
      <c r="G86" s="42"/>
      <c r="H86" s="185"/>
      <c r="I86" s="149" t="s">
        <v>167</v>
      </c>
      <c r="J86" s="50"/>
      <c r="K86" s="50"/>
      <c r="L86" s="56" t="e">
        <f t="shared" si="28"/>
        <v>#DIV/0!</v>
      </c>
      <c r="M86" s="88" t="e">
        <f t="shared" si="29"/>
        <v>#DIV/0!</v>
      </c>
      <c r="Q86" s="182"/>
      <c r="R86" s="149" t="s">
        <v>161</v>
      </c>
      <c r="S86" s="50"/>
      <c r="T86" s="50"/>
      <c r="U86" s="56" t="e">
        <f t="shared" si="18"/>
        <v>#DIV/0!</v>
      </c>
      <c r="V86" s="88" t="e">
        <f t="shared" si="19"/>
        <v>#DIV/0!</v>
      </c>
      <c r="W86" s="42"/>
      <c r="X86" s="185"/>
      <c r="Y86" s="149" t="s">
        <v>168</v>
      </c>
      <c r="Z86" s="50"/>
      <c r="AA86" s="50"/>
      <c r="AB86" s="56" t="e">
        <f t="shared" si="20"/>
        <v>#DIV/0!</v>
      </c>
      <c r="AC86" s="88" t="e">
        <f t="shared" si="21"/>
        <v>#DIV/0!</v>
      </c>
      <c r="AG86" s="182"/>
      <c r="AH86" s="149" t="s">
        <v>161</v>
      </c>
      <c r="AI86" s="50"/>
      <c r="AJ86" s="50"/>
      <c r="AK86" s="56" t="e">
        <f t="shared" si="22"/>
        <v>#DIV/0!</v>
      </c>
      <c r="AL86" s="88" t="e">
        <f t="shared" si="23"/>
        <v>#DIV/0!</v>
      </c>
      <c r="AM86" s="42"/>
      <c r="AN86" s="185"/>
      <c r="AO86" s="149" t="s">
        <v>168</v>
      </c>
      <c r="AP86" s="50"/>
      <c r="AQ86" s="50"/>
      <c r="AR86" s="56" t="e">
        <f t="shared" si="24"/>
        <v>#DIV/0!</v>
      </c>
      <c r="AS86" s="88" t="e">
        <f t="shared" si="25"/>
        <v>#DIV/0!</v>
      </c>
    </row>
    <row r="87" spans="1:45" ht="15.75" thickBot="1" x14ac:dyDescent="0.3">
      <c r="A87" s="182"/>
      <c r="B87" s="149" t="s">
        <v>161</v>
      </c>
      <c r="C87" s="50"/>
      <c r="D87" s="50"/>
      <c r="E87" s="56" t="e">
        <f t="shared" si="32"/>
        <v>#DIV/0!</v>
      </c>
      <c r="F87" s="88" t="e">
        <f t="shared" si="33"/>
        <v>#DIV/0!</v>
      </c>
      <c r="G87" s="42"/>
      <c r="H87" s="185"/>
      <c r="I87" s="149" t="s">
        <v>168</v>
      </c>
      <c r="J87" s="50"/>
      <c r="K87" s="50"/>
      <c r="L87" s="56" t="e">
        <f t="shared" si="28"/>
        <v>#DIV/0!</v>
      </c>
      <c r="M87" s="88" t="e">
        <f t="shared" si="29"/>
        <v>#DIV/0!</v>
      </c>
      <c r="Q87" s="183"/>
      <c r="R87" s="150" t="s">
        <v>164</v>
      </c>
      <c r="S87" s="153"/>
      <c r="T87" s="153"/>
      <c r="U87" s="90" t="e">
        <f t="shared" si="18"/>
        <v>#DIV/0!</v>
      </c>
      <c r="V87" s="91" t="e">
        <f t="shared" si="19"/>
        <v>#DIV/0!</v>
      </c>
      <c r="W87" s="42"/>
      <c r="X87" s="185"/>
      <c r="Y87" s="149" t="s">
        <v>136</v>
      </c>
      <c r="Z87" s="50"/>
      <c r="AA87" s="50"/>
      <c r="AB87" s="56" t="e">
        <f t="shared" si="20"/>
        <v>#DIV/0!</v>
      </c>
      <c r="AC87" s="88" t="e">
        <f t="shared" si="21"/>
        <v>#DIV/0!</v>
      </c>
      <c r="AG87" s="183"/>
      <c r="AH87" s="150" t="s">
        <v>164</v>
      </c>
      <c r="AI87" s="153"/>
      <c r="AJ87" s="153"/>
      <c r="AK87" s="90" t="e">
        <f t="shared" si="22"/>
        <v>#DIV/0!</v>
      </c>
      <c r="AL87" s="91" t="e">
        <f t="shared" si="23"/>
        <v>#DIV/0!</v>
      </c>
      <c r="AM87" s="42"/>
      <c r="AN87" s="185"/>
      <c r="AO87" s="149" t="s">
        <v>136</v>
      </c>
      <c r="AP87" s="50"/>
      <c r="AQ87" s="50"/>
      <c r="AR87" s="56" t="e">
        <f t="shared" si="24"/>
        <v>#DIV/0!</v>
      </c>
      <c r="AS87" s="88" t="e">
        <f t="shared" si="25"/>
        <v>#DIV/0!</v>
      </c>
    </row>
    <row r="88" spans="1:45" ht="15.75" thickBot="1" x14ac:dyDescent="0.3">
      <c r="A88" s="183"/>
      <c r="B88" s="150" t="s">
        <v>164</v>
      </c>
      <c r="C88" s="153"/>
      <c r="D88" s="153"/>
      <c r="E88" s="90" t="e">
        <f t="shared" si="32"/>
        <v>#DIV/0!</v>
      </c>
      <c r="F88" s="91" t="e">
        <f t="shared" si="33"/>
        <v>#DIV/0!</v>
      </c>
      <c r="G88" s="42"/>
      <c r="H88" s="185"/>
      <c r="I88" s="149" t="s">
        <v>136</v>
      </c>
      <c r="J88" s="50"/>
      <c r="K88" s="50"/>
      <c r="L88" s="56" t="e">
        <f t="shared" si="28"/>
        <v>#DIV/0!</v>
      </c>
      <c r="M88" s="88" t="e">
        <f t="shared" si="29"/>
        <v>#DIV/0!</v>
      </c>
      <c r="Q88" s="151"/>
      <c r="R88" s="37"/>
      <c r="S88" s="50"/>
      <c r="T88" s="50"/>
      <c r="U88" s="56"/>
      <c r="V88" s="34"/>
      <c r="W88" s="42"/>
      <c r="X88" s="185"/>
      <c r="Y88" s="149" t="s">
        <v>137</v>
      </c>
      <c r="Z88" s="50"/>
      <c r="AA88" s="50"/>
      <c r="AB88" s="56" t="e">
        <f t="shared" si="20"/>
        <v>#DIV/0!</v>
      </c>
      <c r="AC88" s="88" t="e">
        <f t="shared" si="21"/>
        <v>#DIV/0!</v>
      </c>
      <c r="AG88" s="151"/>
      <c r="AH88" s="37"/>
      <c r="AI88" s="50"/>
      <c r="AJ88" s="50"/>
      <c r="AK88" s="56"/>
      <c r="AL88" s="34"/>
      <c r="AM88" s="42"/>
      <c r="AN88" s="185"/>
      <c r="AO88" s="149" t="s">
        <v>137</v>
      </c>
      <c r="AP88" s="50"/>
      <c r="AQ88" s="50"/>
      <c r="AR88" s="56" t="e">
        <f t="shared" si="24"/>
        <v>#DIV/0!</v>
      </c>
      <c r="AS88" s="88" t="e">
        <f t="shared" si="25"/>
        <v>#DIV/0!</v>
      </c>
    </row>
    <row r="89" spans="1:45" x14ac:dyDescent="0.25">
      <c r="A89" s="151"/>
      <c r="B89" s="37"/>
      <c r="C89" s="50"/>
      <c r="D89" s="50"/>
      <c r="E89" s="56"/>
      <c r="F89" s="34"/>
      <c r="G89" s="42"/>
      <c r="H89" s="185"/>
      <c r="I89" s="149" t="s">
        <v>137</v>
      </c>
      <c r="J89" s="50"/>
      <c r="K89" s="50"/>
      <c r="L89" s="56" t="e">
        <f t="shared" si="28"/>
        <v>#DIV/0!</v>
      </c>
      <c r="M89" s="88" t="e">
        <f t="shared" si="29"/>
        <v>#DIV/0!</v>
      </c>
      <c r="Q89" s="151"/>
      <c r="R89" s="59"/>
      <c r="S89" s="59"/>
      <c r="T89" s="59"/>
      <c r="U89" s="42"/>
      <c r="V89" s="42"/>
      <c r="W89" s="42"/>
      <c r="X89" s="185"/>
      <c r="Y89" s="149" t="s">
        <v>138</v>
      </c>
      <c r="Z89" s="50"/>
      <c r="AA89" s="50"/>
      <c r="AB89" s="56" t="e">
        <f t="shared" si="20"/>
        <v>#DIV/0!</v>
      </c>
      <c r="AC89" s="88" t="e">
        <f t="shared" si="21"/>
        <v>#DIV/0!</v>
      </c>
      <c r="AG89" s="151"/>
      <c r="AH89" s="59"/>
      <c r="AI89" s="59"/>
      <c r="AJ89" s="59"/>
      <c r="AK89" s="42"/>
      <c r="AL89" s="42"/>
      <c r="AM89" s="42"/>
      <c r="AN89" s="185"/>
      <c r="AO89" s="149" t="s">
        <v>138</v>
      </c>
      <c r="AP89" s="50"/>
      <c r="AQ89" s="50"/>
      <c r="AR89" s="56" t="e">
        <f t="shared" si="24"/>
        <v>#DIV/0!</v>
      </c>
      <c r="AS89" s="88" t="e">
        <f t="shared" si="25"/>
        <v>#DIV/0!</v>
      </c>
    </row>
    <row r="90" spans="1:45" ht="15.75" thickBot="1" x14ac:dyDescent="0.3">
      <c r="A90" s="151"/>
      <c r="B90" s="59"/>
      <c r="C90" s="59"/>
      <c r="D90" s="59"/>
      <c r="E90" s="42"/>
      <c r="F90" s="42"/>
      <c r="G90" s="42"/>
      <c r="H90" s="185"/>
      <c r="I90" s="149" t="s">
        <v>138</v>
      </c>
      <c r="J90" s="50"/>
      <c r="K90" s="50"/>
      <c r="L90" s="56" t="e">
        <f t="shared" si="28"/>
        <v>#DIV/0!</v>
      </c>
      <c r="M90" s="88" t="e">
        <f t="shared" si="29"/>
        <v>#DIV/0!</v>
      </c>
      <c r="Q90" s="151"/>
      <c r="R90" s="59"/>
      <c r="S90" s="59"/>
      <c r="T90" s="59"/>
      <c r="U90" s="42"/>
      <c r="V90" s="42"/>
      <c r="W90" s="42"/>
      <c r="X90" s="185"/>
      <c r="Y90" s="150" t="s">
        <v>139</v>
      </c>
      <c r="Z90" s="68"/>
      <c r="AA90" s="68"/>
      <c r="AB90" s="56" t="e">
        <f t="shared" si="20"/>
        <v>#DIV/0!</v>
      </c>
      <c r="AC90" s="88" t="e">
        <f t="shared" si="21"/>
        <v>#DIV/0!</v>
      </c>
      <c r="AG90" s="151"/>
      <c r="AH90" s="59"/>
      <c r="AI90" s="59"/>
      <c r="AJ90" s="59"/>
      <c r="AK90" s="42"/>
      <c r="AL90" s="42"/>
      <c r="AM90" s="42"/>
      <c r="AN90" s="185"/>
      <c r="AO90" s="150" t="s">
        <v>139</v>
      </c>
      <c r="AP90" s="68"/>
      <c r="AQ90" s="68"/>
      <c r="AR90" s="56" t="e">
        <f t="shared" si="24"/>
        <v>#DIV/0!</v>
      </c>
      <c r="AS90" s="88" t="e">
        <f t="shared" si="25"/>
        <v>#DIV/0!</v>
      </c>
    </row>
    <row r="91" spans="1:45" ht="15.75" thickBot="1" x14ac:dyDescent="0.3">
      <c r="A91" s="151"/>
      <c r="B91" s="59"/>
      <c r="C91" s="59"/>
      <c r="D91" s="59"/>
      <c r="E91" s="42"/>
      <c r="F91" s="42"/>
      <c r="G91" s="42"/>
      <c r="H91" s="185"/>
      <c r="I91" s="150" t="s">
        <v>139</v>
      </c>
      <c r="J91" s="68"/>
      <c r="K91" s="68"/>
      <c r="L91" s="56" t="e">
        <f t="shared" si="28"/>
        <v>#DIV/0!</v>
      </c>
      <c r="M91" s="88" t="e">
        <f t="shared" si="29"/>
        <v>#DIV/0!</v>
      </c>
      <c r="Q91" s="60"/>
      <c r="R91" s="59"/>
      <c r="S91" s="59"/>
      <c r="T91" s="59"/>
      <c r="U91" s="42"/>
      <c r="V91" s="42"/>
      <c r="W91" s="42"/>
      <c r="X91" s="186"/>
      <c r="Y91" s="93" t="s">
        <v>140</v>
      </c>
      <c r="Z91" s="153"/>
      <c r="AA91" s="155"/>
      <c r="AB91" s="90" t="e">
        <f t="shared" si="20"/>
        <v>#DIV/0!</v>
      </c>
      <c r="AC91" s="91" t="e">
        <f t="shared" si="21"/>
        <v>#DIV/0!</v>
      </c>
      <c r="AG91" s="60"/>
      <c r="AH91" s="59"/>
      <c r="AI91" s="59"/>
      <c r="AJ91" s="59"/>
      <c r="AK91" s="42"/>
      <c r="AL91" s="42"/>
      <c r="AM91" s="42"/>
      <c r="AN91" s="186"/>
      <c r="AO91" s="93" t="s">
        <v>140</v>
      </c>
      <c r="AP91" s="153"/>
      <c r="AQ91" s="155"/>
      <c r="AR91" s="90" t="e">
        <f t="shared" si="24"/>
        <v>#DIV/0!</v>
      </c>
      <c r="AS91" s="91" t="e">
        <f t="shared" si="25"/>
        <v>#DIV/0!</v>
      </c>
    </row>
    <row r="92" spans="1:45" ht="15.75" thickBot="1" x14ac:dyDescent="0.3">
      <c r="A92" s="60"/>
      <c r="B92" s="59"/>
      <c r="C92" s="59"/>
      <c r="D92" s="59"/>
      <c r="E92" s="42"/>
      <c r="F92" s="42"/>
      <c r="G92" s="42"/>
      <c r="H92" s="186"/>
      <c r="I92" s="93" t="s">
        <v>140</v>
      </c>
      <c r="J92" s="153"/>
      <c r="K92" s="155"/>
      <c r="L92" s="90" t="e">
        <f t="shared" si="28"/>
        <v>#DIV/0!</v>
      </c>
      <c r="M92" s="91" t="e">
        <f t="shared" si="29"/>
        <v>#DIV/0!</v>
      </c>
      <c r="S92" s="41"/>
      <c r="T92" s="41"/>
    </row>
    <row r="93" spans="1:45" x14ac:dyDescent="0.25">
      <c r="A93" s="60"/>
      <c r="B93" s="59"/>
      <c r="C93" s="59"/>
      <c r="D93" s="59"/>
      <c r="E93" s="42"/>
      <c r="F93" s="42"/>
      <c r="G93" s="42"/>
    </row>
    <row r="94" spans="1:45" x14ac:dyDescent="0.25">
      <c r="A94" s="60"/>
      <c r="B94" s="59"/>
      <c r="C94" s="59"/>
      <c r="D94" s="42"/>
      <c r="E94" s="42"/>
      <c r="F94" s="42"/>
      <c r="G94" s="42"/>
    </row>
    <row r="95" spans="1:45" x14ac:dyDescent="0.25">
      <c r="A95" s="60"/>
      <c r="B95" s="56"/>
      <c r="C95" s="56"/>
      <c r="D95" s="34"/>
      <c r="E95" s="34"/>
      <c r="G95" s="42"/>
    </row>
    <row r="96" spans="1:45" x14ac:dyDescent="0.25">
      <c r="A96" s="42"/>
      <c r="B96" s="56"/>
      <c r="C96" s="56"/>
      <c r="D96" s="34"/>
      <c r="E96" s="34"/>
      <c r="G96" s="42"/>
    </row>
    <row r="97" spans="1:7" x14ac:dyDescent="0.25">
      <c r="A97" s="34"/>
      <c r="B97" s="56"/>
      <c r="C97" s="56"/>
      <c r="D97" s="34"/>
      <c r="E97" s="34"/>
      <c r="G97" s="42"/>
    </row>
    <row r="98" spans="1:7" x14ac:dyDescent="0.25">
      <c r="A98" s="34"/>
      <c r="B98" s="56"/>
      <c r="C98" s="56"/>
      <c r="D98" s="34"/>
      <c r="E98" s="34"/>
    </row>
    <row r="99" spans="1:7" x14ac:dyDescent="0.25">
      <c r="A99" s="34"/>
      <c r="B99" s="34"/>
      <c r="C99" s="34"/>
      <c r="D99" s="34"/>
      <c r="E99" s="34"/>
    </row>
    <row r="100" spans="1:7" x14ac:dyDescent="0.25">
      <c r="A100" s="34"/>
      <c r="B100" s="34"/>
      <c r="C100" s="34"/>
      <c r="D100" s="34"/>
      <c r="E100" s="34"/>
    </row>
    <row r="101" spans="1:7" x14ac:dyDescent="0.25">
      <c r="A101" s="34"/>
    </row>
    <row r="102" spans="1:7" x14ac:dyDescent="0.25">
      <c r="A102" s="34"/>
    </row>
  </sheetData>
  <mergeCells count="24">
    <mergeCell ref="AG56:AG63"/>
    <mergeCell ref="AN56:AN64"/>
    <mergeCell ref="AG64:AG71"/>
    <mergeCell ref="AN65:AN73"/>
    <mergeCell ref="AG72:AG79"/>
    <mergeCell ref="AN74:AN82"/>
    <mergeCell ref="AG80:AG87"/>
    <mergeCell ref="AN83:AN91"/>
    <mergeCell ref="H75:H83"/>
    <mergeCell ref="H84:H92"/>
    <mergeCell ref="A57:A64"/>
    <mergeCell ref="A65:A72"/>
    <mergeCell ref="A73:A80"/>
    <mergeCell ref="A81:A88"/>
    <mergeCell ref="H57:H65"/>
    <mergeCell ref="H66:H74"/>
    <mergeCell ref="Q56:Q63"/>
    <mergeCell ref="X56:X64"/>
    <mergeCell ref="Q64:Q71"/>
    <mergeCell ref="X65:X73"/>
    <mergeCell ref="Q72:Q79"/>
    <mergeCell ref="X74:X82"/>
    <mergeCell ref="Q80:Q87"/>
    <mergeCell ref="X83:X9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Summary</vt:lpstr>
      <vt:lpstr>Cells</vt:lpstr>
      <vt:lpstr>layout 27-03</vt:lpstr>
      <vt:lpstr>tracer counts 27-03</vt:lpstr>
      <vt:lpstr>Raw data 27-03</vt:lpstr>
      <vt:lpstr>uptake 27-03</vt:lpstr>
      <vt:lpstr>BCA calculations</vt:lpstr>
      <vt:lpstr>Protein concentration</vt:lpstr>
      <vt:lpstr>'tracer counts 27-03'!_003647_1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 Chen</dc:creator>
  <cp:lastModifiedBy>N.T.O.M. Dierichs</cp:lastModifiedBy>
  <cp:lastPrinted>2024-05-28T09:00:34Z</cp:lastPrinted>
  <dcterms:created xsi:type="dcterms:W3CDTF">2021-08-03T08:14:59Z</dcterms:created>
  <dcterms:modified xsi:type="dcterms:W3CDTF">2024-05-28T09:11:58Z</dcterms:modified>
</cp:coreProperties>
</file>