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Nathalie\Experiments\2024\Uptake\Combined uptake EDCs\"/>
    </mc:Choice>
  </mc:AlternateContent>
  <bookViews>
    <workbookView xWindow="37410" yWindow="810" windowWidth="31020" windowHeight="20040" activeTab="9"/>
  </bookViews>
  <sheets>
    <sheet name="Amiodarone" sheetId="4" r:id="rId1"/>
    <sheet name="BSP" sheetId="1" r:id="rId2"/>
    <sheet name="Cef" sheetId="11" r:id="rId3"/>
    <sheet name="CP" sheetId="2" r:id="rId4"/>
    <sheet name="IOP" sheetId="7" r:id="rId5"/>
    <sheet name="MBP" sheetId="5" r:id="rId6"/>
    <sheet name="NH3" sheetId="8" r:id="rId7"/>
    <sheet name="PBDE-99" sheetId="6" r:id="rId8"/>
    <sheet name="TBBPA" sheetId="3" r:id="rId9"/>
    <sheet name="Xn" sheetId="10" r:id="rId10"/>
    <sheet name="Sily + lesi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0" l="1"/>
  <c r="M30" i="6" l="1"/>
  <c r="C7" i="1" l="1"/>
  <c r="C8" i="1"/>
  <c r="AC42" i="5" l="1"/>
  <c r="AB42" i="5"/>
  <c r="S42" i="5"/>
  <c r="R42" i="5"/>
  <c r="N42" i="5"/>
  <c r="M42" i="5"/>
  <c r="I42" i="5"/>
  <c r="H42" i="5"/>
  <c r="D42" i="5"/>
  <c r="C42" i="5"/>
  <c r="AC35" i="5"/>
  <c r="AB35" i="5"/>
  <c r="S35" i="5"/>
  <c r="R35" i="5"/>
  <c r="N35" i="5"/>
  <c r="M35" i="5"/>
  <c r="I35" i="5"/>
  <c r="H35" i="5"/>
  <c r="D35" i="5"/>
  <c r="C35" i="5"/>
  <c r="AC28" i="5"/>
  <c r="AB28" i="5"/>
  <c r="S28" i="5"/>
  <c r="R28" i="5"/>
  <c r="N28" i="5"/>
  <c r="M28" i="5"/>
  <c r="I28" i="5"/>
  <c r="H28" i="5"/>
  <c r="D28" i="5"/>
  <c r="C28" i="5"/>
  <c r="AC21" i="5"/>
  <c r="AB21" i="5"/>
  <c r="S21" i="5"/>
  <c r="R21" i="5"/>
  <c r="N21" i="5"/>
  <c r="M21" i="5"/>
  <c r="I21" i="5"/>
  <c r="H21" i="5"/>
  <c r="D21" i="5"/>
  <c r="C21" i="5"/>
  <c r="AC13" i="5"/>
  <c r="AB13" i="5"/>
  <c r="S13" i="5"/>
  <c r="R13" i="5"/>
  <c r="N13" i="5"/>
  <c r="M13" i="5"/>
  <c r="I13" i="5"/>
  <c r="H13" i="5"/>
  <c r="D13" i="5"/>
  <c r="C13" i="5"/>
  <c r="AC6" i="5"/>
  <c r="AB6" i="5"/>
  <c r="S6" i="5"/>
  <c r="R6" i="5"/>
  <c r="N6" i="5"/>
  <c r="M6" i="5"/>
  <c r="I6" i="5"/>
  <c r="H6" i="5"/>
  <c r="D6" i="5"/>
  <c r="C6" i="5"/>
  <c r="C44" i="5"/>
  <c r="D42" i="11" l="1"/>
  <c r="C42" i="11"/>
  <c r="D35" i="11"/>
  <c r="C35" i="11"/>
  <c r="D21" i="11"/>
  <c r="C21" i="11"/>
  <c r="D6" i="11"/>
  <c r="C6" i="11"/>
  <c r="D28" i="10"/>
  <c r="C28" i="10"/>
  <c r="D21" i="10"/>
  <c r="C21" i="10"/>
  <c r="D13" i="10"/>
  <c r="C13" i="10"/>
  <c r="D6" i="10"/>
  <c r="C6" i="10"/>
  <c r="AB44" i="5" l="1"/>
  <c r="AB43" i="5"/>
  <c r="AB8" i="5" l="1"/>
  <c r="AB37" i="5"/>
  <c r="AB36" i="5"/>
  <c r="AB30" i="5"/>
  <c r="AB29" i="5"/>
  <c r="AB23" i="5"/>
  <c r="AB22" i="5"/>
  <c r="AB15" i="5"/>
  <c r="AB14" i="5"/>
  <c r="AB7" i="5" l="1"/>
  <c r="R44" i="11" l="1"/>
  <c r="M44" i="11"/>
  <c r="H44" i="11"/>
  <c r="C44" i="11"/>
  <c r="R43" i="11"/>
  <c r="M43" i="11"/>
  <c r="H43" i="11"/>
  <c r="C43" i="11"/>
  <c r="R37" i="11"/>
  <c r="M37" i="11"/>
  <c r="H37" i="11"/>
  <c r="C37" i="11"/>
  <c r="R36" i="11"/>
  <c r="M36" i="11"/>
  <c r="H36" i="11"/>
  <c r="C36" i="11"/>
  <c r="R30" i="11"/>
  <c r="M30" i="11"/>
  <c r="H30" i="11"/>
  <c r="C30" i="11"/>
  <c r="R29" i="11"/>
  <c r="M29" i="11"/>
  <c r="H29" i="11"/>
  <c r="C29" i="11"/>
  <c r="R23" i="11"/>
  <c r="M23" i="11"/>
  <c r="H23" i="11"/>
  <c r="C23" i="11"/>
  <c r="R22" i="11"/>
  <c r="M22" i="11"/>
  <c r="H22" i="11"/>
  <c r="C22" i="11"/>
  <c r="R15" i="11"/>
  <c r="M15" i="11"/>
  <c r="H15" i="11"/>
  <c r="C15" i="11"/>
  <c r="R14" i="11"/>
  <c r="M14" i="11"/>
  <c r="H14" i="11"/>
  <c r="C14" i="11"/>
  <c r="R8" i="11"/>
  <c r="M8" i="11"/>
  <c r="H8" i="11"/>
  <c r="C8" i="11"/>
  <c r="R7" i="11"/>
  <c r="M7" i="11"/>
  <c r="H7" i="11"/>
  <c r="C7" i="11"/>
  <c r="R44" i="10" l="1"/>
  <c r="M44" i="10"/>
  <c r="H44" i="10"/>
  <c r="C44" i="10"/>
  <c r="R43" i="10"/>
  <c r="M43" i="10"/>
  <c r="H43" i="10"/>
  <c r="C43" i="10"/>
  <c r="R37" i="10"/>
  <c r="M37" i="10"/>
  <c r="H37" i="10"/>
  <c r="C37" i="10"/>
  <c r="R36" i="10"/>
  <c r="M36" i="10"/>
  <c r="H36" i="10"/>
  <c r="C36" i="10"/>
  <c r="R30" i="10"/>
  <c r="M30" i="10"/>
  <c r="H30" i="10"/>
  <c r="C30" i="10"/>
  <c r="R29" i="10"/>
  <c r="M29" i="10"/>
  <c r="H29" i="10"/>
  <c r="C29" i="10"/>
  <c r="R23" i="10"/>
  <c r="M23" i="10"/>
  <c r="H23" i="10"/>
  <c r="C23" i="10"/>
  <c r="R22" i="10"/>
  <c r="M22" i="10"/>
  <c r="H22" i="10"/>
  <c r="C22" i="10"/>
  <c r="R15" i="10"/>
  <c r="M15" i="10"/>
  <c r="H15" i="10"/>
  <c r="C15" i="10"/>
  <c r="R14" i="10"/>
  <c r="M14" i="10"/>
  <c r="C14" i="10"/>
  <c r="R8" i="10"/>
  <c r="M8" i="10"/>
  <c r="H8" i="10"/>
  <c r="C8" i="10"/>
  <c r="R7" i="10"/>
  <c r="M7" i="10"/>
  <c r="H7" i="10"/>
  <c r="C7" i="10"/>
  <c r="C44" i="8"/>
  <c r="C43" i="8"/>
  <c r="C37" i="8"/>
  <c r="C36" i="8"/>
  <c r="C30" i="8"/>
  <c r="C29" i="8"/>
  <c r="C23" i="8"/>
  <c r="C22" i="8"/>
  <c r="C15" i="8"/>
  <c r="C14" i="8"/>
  <c r="C8" i="8"/>
  <c r="C7" i="8"/>
  <c r="C44" i="7"/>
  <c r="C43" i="7"/>
  <c r="C37" i="7"/>
  <c r="C36" i="7"/>
  <c r="C30" i="7"/>
  <c r="C29" i="7"/>
  <c r="C23" i="7"/>
  <c r="C22" i="7"/>
  <c r="C15" i="7"/>
  <c r="C14" i="7"/>
  <c r="C8" i="7"/>
  <c r="C7" i="7"/>
  <c r="R44" i="6"/>
  <c r="M44" i="6"/>
  <c r="H44" i="6"/>
  <c r="C44" i="6"/>
  <c r="R43" i="6"/>
  <c r="M43" i="6"/>
  <c r="H43" i="6"/>
  <c r="C43" i="6"/>
  <c r="R37" i="6"/>
  <c r="M37" i="6"/>
  <c r="H37" i="6"/>
  <c r="C37" i="6"/>
  <c r="R36" i="6"/>
  <c r="M36" i="6"/>
  <c r="H36" i="6"/>
  <c r="C36" i="6"/>
  <c r="R30" i="6"/>
  <c r="H30" i="6"/>
  <c r="C30" i="6"/>
  <c r="R29" i="6"/>
  <c r="M29" i="6"/>
  <c r="H29" i="6"/>
  <c r="C29" i="6"/>
  <c r="R23" i="6"/>
  <c r="M23" i="6"/>
  <c r="H23" i="6"/>
  <c r="C23" i="6"/>
  <c r="R22" i="6"/>
  <c r="M22" i="6"/>
  <c r="H22" i="6"/>
  <c r="C22" i="6"/>
  <c r="R15" i="6"/>
  <c r="M15" i="6"/>
  <c r="H15" i="6"/>
  <c r="C15" i="6"/>
  <c r="R14" i="6"/>
  <c r="M14" i="6"/>
  <c r="H14" i="6"/>
  <c r="C14" i="6"/>
  <c r="R8" i="6"/>
  <c r="M8" i="6"/>
  <c r="H8" i="6"/>
  <c r="C8" i="6"/>
  <c r="R7" i="6"/>
  <c r="M7" i="6"/>
  <c r="H7" i="6"/>
  <c r="C7" i="6"/>
  <c r="R44" i="5"/>
  <c r="M44" i="5"/>
  <c r="H44" i="5"/>
  <c r="R43" i="5"/>
  <c r="M43" i="5"/>
  <c r="H43" i="5"/>
  <c r="C43" i="5"/>
  <c r="R37" i="5"/>
  <c r="M37" i="5"/>
  <c r="H37" i="5"/>
  <c r="C37" i="5"/>
  <c r="R36" i="5"/>
  <c r="M36" i="5"/>
  <c r="H36" i="5"/>
  <c r="C36" i="5"/>
  <c r="R30" i="5"/>
  <c r="M30" i="5"/>
  <c r="H30" i="5"/>
  <c r="C30" i="5"/>
  <c r="R29" i="5"/>
  <c r="M29" i="5"/>
  <c r="H29" i="5"/>
  <c r="C29" i="5"/>
  <c r="R23" i="5"/>
  <c r="M23" i="5"/>
  <c r="H23" i="5"/>
  <c r="C23" i="5"/>
  <c r="R22" i="5"/>
  <c r="M22" i="5"/>
  <c r="H22" i="5"/>
  <c r="C22" i="5"/>
  <c r="R15" i="5"/>
  <c r="M15" i="5"/>
  <c r="H15" i="5"/>
  <c r="C15" i="5"/>
  <c r="R14" i="5"/>
  <c r="M14" i="5"/>
  <c r="H14" i="5"/>
  <c r="C14" i="5"/>
  <c r="R8" i="5"/>
  <c r="M8" i="5"/>
  <c r="H8" i="5"/>
  <c r="C8" i="5"/>
  <c r="R7" i="5"/>
  <c r="M7" i="5"/>
  <c r="H7" i="5"/>
  <c r="C7" i="5"/>
  <c r="R44" i="4"/>
  <c r="M44" i="4"/>
  <c r="H44" i="4"/>
  <c r="C44" i="4"/>
  <c r="R43" i="4"/>
  <c r="M43" i="4"/>
  <c r="H43" i="4"/>
  <c r="C43" i="4"/>
  <c r="R37" i="4"/>
  <c r="M37" i="4"/>
  <c r="H37" i="4"/>
  <c r="C37" i="4"/>
  <c r="R36" i="4"/>
  <c r="M36" i="4"/>
  <c r="H36" i="4"/>
  <c r="C36" i="4"/>
  <c r="R30" i="4"/>
  <c r="M30" i="4"/>
  <c r="H30" i="4"/>
  <c r="C30" i="4"/>
  <c r="R29" i="4"/>
  <c r="M29" i="4"/>
  <c r="H29" i="4"/>
  <c r="C29" i="4"/>
  <c r="R23" i="4"/>
  <c r="M23" i="4"/>
  <c r="H23" i="4"/>
  <c r="C23" i="4"/>
  <c r="R22" i="4"/>
  <c r="M22" i="4"/>
  <c r="H22" i="4"/>
  <c r="C22" i="4"/>
  <c r="R15" i="4"/>
  <c r="M15" i="4"/>
  <c r="H15" i="4"/>
  <c r="C15" i="4"/>
  <c r="R14" i="4"/>
  <c r="M14" i="4"/>
  <c r="H14" i="4"/>
  <c r="C14" i="4"/>
  <c r="R8" i="4"/>
  <c r="M8" i="4"/>
  <c r="H8" i="4"/>
  <c r="C8" i="4"/>
  <c r="R7" i="4"/>
  <c r="M7" i="4"/>
  <c r="H7" i="4"/>
  <c r="C7" i="4"/>
  <c r="R44" i="3"/>
  <c r="M44" i="3"/>
  <c r="H44" i="3"/>
  <c r="C44" i="3"/>
  <c r="R43" i="3"/>
  <c r="M43" i="3"/>
  <c r="H43" i="3"/>
  <c r="C43" i="3"/>
  <c r="R37" i="3"/>
  <c r="M37" i="3"/>
  <c r="H37" i="3"/>
  <c r="C37" i="3"/>
  <c r="R36" i="3"/>
  <c r="M36" i="3"/>
  <c r="H36" i="3"/>
  <c r="C36" i="3"/>
  <c r="R30" i="3"/>
  <c r="M30" i="3"/>
  <c r="H30" i="3"/>
  <c r="C30" i="3"/>
  <c r="R29" i="3"/>
  <c r="M29" i="3"/>
  <c r="H29" i="3"/>
  <c r="C29" i="3"/>
  <c r="R23" i="3"/>
  <c r="M23" i="3"/>
  <c r="H23" i="3"/>
  <c r="C23" i="3"/>
  <c r="R22" i="3"/>
  <c r="M22" i="3"/>
  <c r="H22" i="3"/>
  <c r="C22" i="3"/>
  <c r="R15" i="3"/>
  <c r="M15" i="3"/>
  <c r="H15" i="3"/>
  <c r="C15" i="3"/>
  <c r="R14" i="3"/>
  <c r="M14" i="3"/>
  <c r="H14" i="3"/>
  <c r="C14" i="3"/>
  <c r="R8" i="3"/>
  <c r="M8" i="3"/>
  <c r="H8" i="3"/>
  <c r="C8" i="3"/>
  <c r="R7" i="3"/>
  <c r="M7" i="3"/>
  <c r="H7" i="3"/>
  <c r="C7" i="3"/>
  <c r="R44" i="2"/>
  <c r="M44" i="2"/>
  <c r="H44" i="2"/>
  <c r="C44" i="2"/>
  <c r="R43" i="2"/>
  <c r="M43" i="2"/>
  <c r="H43" i="2"/>
  <c r="C43" i="2"/>
  <c r="R37" i="2"/>
  <c r="M37" i="2"/>
  <c r="H37" i="2"/>
  <c r="C37" i="2"/>
  <c r="R36" i="2"/>
  <c r="M36" i="2"/>
  <c r="H36" i="2"/>
  <c r="C36" i="2"/>
  <c r="R30" i="2"/>
  <c r="M30" i="2"/>
  <c r="H30" i="2"/>
  <c r="C30" i="2"/>
  <c r="R29" i="2"/>
  <c r="M29" i="2"/>
  <c r="H29" i="2"/>
  <c r="C29" i="2"/>
  <c r="R23" i="2"/>
  <c r="M23" i="2"/>
  <c r="H23" i="2"/>
  <c r="C23" i="2"/>
  <c r="R22" i="2"/>
  <c r="M22" i="2"/>
  <c r="H22" i="2"/>
  <c r="C22" i="2"/>
  <c r="R15" i="2"/>
  <c r="M15" i="2"/>
  <c r="H15" i="2"/>
  <c r="C15" i="2"/>
  <c r="R14" i="2"/>
  <c r="M14" i="2"/>
  <c r="H14" i="2"/>
  <c r="C14" i="2"/>
  <c r="R8" i="2"/>
  <c r="M8" i="2"/>
  <c r="H8" i="2"/>
  <c r="C8" i="2"/>
  <c r="R7" i="2"/>
  <c r="M7" i="2"/>
  <c r="H7" i="2"/>
  <c r="C7" i="2"/>
  <c r="R44" i="1"/>
  <c r="R43" i="1"/>
  <c r="R37" i="1"/>
  <c r="R36" i="1"/>
  <c r="R23" i="1"/>
  <c r="R30" i="1"/>
  <c r="R29" i="1"/>
  <c r="R22" i="1"/>
  <c r="M44" i="1"/>
  <c r="H44" i="1"/>
  <c r="C44" i="1"/>
  <c r="M43" i="1"/>
  <c r="H43" i="1"/>
  <c r="C43" i="1"/>
  <c r="M37" i="1"/>
  <c r="H37" i="1"/>
  <c r="C37" i="1"/>
  <c r="M36" i="1"/>
  <c r="H36" i="1"/>
  <c r="C36" i="1"/>
  <c r="M30" i="1"/>
  <c r="H30" i="1"/>
  <c r="C30" i="1"/>
  <c r="M29" i="1"/>
  <c r="H29" i="1"/>
  <c r="C29" i="1"/>
  <c r="C14" i="1"/>
  <c r="R15" i="1"/>
  <c r="M15" i="1"/>
  <c r="H15" i="1"/>
  <c r="C15" i="1"/>
  <c r="M14" i="1"/>
  <c r="H14" i="1"/>
  <c r="R14" i="1" l="1"/>
  <c r="R8" i="1"/>
  <c r="M23" i="1"/>
  <c r="M8" i="1"/>
  <c r="H23" i="1"/>
  <c r="H8" i="1"/>
  <c r="C23" i="1"/>
  <c r="R7" i="1"/>
  <c r="M22" i="1"/>
  <c r="M7" i="1"/>
  <c r="H22" i="1"/>
  <c r="H7" i="1"/>
  <c r="C22" i="1"/>
</calcChain>
</file>

<file path=xl/sharedStrings.xml><?xml version="1.0" encoding="utf-8"?>
<sst xmlns="http://schemas.openxmlformats.org/spreadsheetml/2006/main" count="2135" uniqueCount="41">
  <si>
    <t>BSP</t>
  </si>
  <si>
    <t>µM</t>
  </si>
  <si>
    <t>datum</t>
  </si>
  <si>
    <t>H4</t>
  </si>
  <si>
    <t>n=1</t>
  </si>
  <si>
    <t>n=2</t>
  </si>
  <si>
    <t>n=3</t>
  </si>
  <si>
    <t>Average</t>
  </si>
  <si>
    <t>SD</t>
  </si>
  <si>
    <t>SKNAS</t>
  </si>
  <si>
    <t>cpm 1</t>
  </si>
  <si>
    <t>cpm2</t>
  </si>
  <si>
    <t>T3</t>
  </si>
  <si>
    <t>T4</t>
  </si>
  <si>
    <t>13-3-24</t>
  </si>
  <si>
    <t>Mo3.13</t>
  </si>
  <si>
    <t>Chlorpyrifos</t>
  </si>
  <si>
    <t>Tetrabroombisfenol A</t>
  </si>
  <si>
    <t>Iopanioc acid</t>
  </si>
  <si>
    <t>NH3</t>
  </si>
  <si>
    <t>Amiodarone</t>
  </si>
  <si>
    <t>Cefuroxime</t>
  </si>
  <si>
    <t>Mono-butylphtalate</t>
  </si>
  <si>
    <t>PBDE-99</t>
  </si>
  <si>
    <t>Xanthohumol</t>
  </si>
  <si>
    <t>21-2-24</t>
  </si>
  <si>
    <t>nM</t>
  </si>
  <si>
    <t>Tested by Daniëlle</t>
  </si>
  <si>
    <t>27-11-23</t>
  </si>
  <si>
    <t>19/1/2024</t>
  </si>
  <si>
    <t>29-01-2024</t>
  </si>
  <si>
    <t>21/3/24</t>
  </si>
  <si>
    <t>21-3-24</t>
  </si>
  <si>
    <t>27-3-24</t>
  </si>
  <si>
    <t>DMSO getallen</t>
  </si>
  <si>
    <t>28-3-24</t>
  </si>
  <si>
    <t xml:space="preserve">Extra </t>
  </si>
  <si>
    <t>Control</t>
  </si>
  <si>
    <t>10 µM Silychristin</t>
  </si>
  <si>
    <t>100 µM Lesinurad</t>
  </si>
  <si>
    <t>MO3.13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</si>
</sst>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000%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3" fillId="0" borderId="0" applyFont="0" applyFill="0" applyBorder="0" applyAlignment="0" applyProtection="0"/>
  </cellStyleXfs>
  <cellXfs count="74">
    <xf numFmtId="0" fontId="0" fillId="0" borderId="0" xfId="0"/>
    <xf numFmtId="49" fontId="1" fillId="0" borderId="1" xfId="1" applyNumberFormat="1"/>
    <xf numFmtId="0" fontId="1" fillId="0" borderId="1" xfId="1"/>
    <xf numFmtId="0" fontId="0" fillId="0" borderId="0" xfId="0" applyFill="1"/>
    <xf numFmtId="0" fontId="0" fillId="0" borderId="0" xfId="0" quotePrefix="1"/>
    <xf numFmtId="14" fontId="0" fillId="0" borderId="0" xfId="0" applyNumberFormat="1"/>
    <xf numFmtId="0" fontId="2" fillId="0" borderId="0" xfId="0" applyFont="1" applyFill="1"/>
    <xf numFmtId="0" fontId="0" fillId="0" borderId="0" xfId="0" applyFill="1" applyBorder="1"/>
    <xf numFmtId="10" fontId="0" fillId="0" borderId="0" xfId="2" applyNumberFormat="1" applyFont="1" applyFill="1" applyBorder="1"/>
    <xf numFmtId="0" fontId="2" fillId="0" borderId="0" xfId="0" applyFont="1"/>
    <xf numFmtId="9" fontId="0" fillId="0" borderId="0" xfId="2" applyFont="1" applyFill="1" applyBorder="1"/>
    <xf numFmtId="0" fontId="0" fillId="2" borderId="0" xfId="0" applyFill="1"/>
    <xf numFmtId="14" fontId="0" fillId="0" borderId="0" xfId="0" quotePrefix="1" applyNumberFormat="1"/>
    <xf numFmtId="0" fontId="4" fillId="0" borderId="1" xfId="1" applyFont="1"/>
    <xf numFmtId="14" fontId="5" fillId="0" borderId="0" xfId="0" quotePrefix="1" applyNumberFormat="1" applyFont="1"/>
    <xf numFmtId="0" fontId="0" fillId="0" borderId="2" xfId="0" applyFont="1" applyBorder="1"/>
    <xf numFmtId="0" fontId="5" fillId="0" borderId="2" xfId="0" applyFont="1" applyBorder="1"/>
    <xf numFmtId="0" fontId="0" fillId="0" borderId="3" xfId="0" applyFont="1" applyBorder="1"/>
    <xf numFmtId="0" fontId="0" fillId="0" borderId="0" xfId="2" applyNumberFormat="1" applyFont="1" applyFill="1" applyBorder="1"/>
    <xf numFmtId="14" fontId="5" fillId="0" borderId="0" xfId="0" applyNumberFormat="1" applyFont="1"/>
    <xf numFmtId="0" fontId="0" fillId="0" borderId="0" xfId="0" applyNumberFormat="1"/>
    <xf numFmtId="0" fontId="0" fillId="0" borderId="0" xfId="0" applyNumberFormat="1" applyFill="1"/>
    <xf numFmtId="0" fontId="2" fillId="0" borderId="0" xfId="0" applyNumberFormat="1" applyFont="1" applyFill="1"/>
    <xf numFmtId="0" fontId="0" fillId="0" borderId="0" xfId="0" applyNumberFormat="1" applyFill="1" applyBorder="1"/>
    <xf numFmtId="0" fontId="2" fillId="0" borderId="0" xfId="0" applyNumberFormat="1" applyFont="1"/>
    <xf numFmtId="0" fontId="0" fillId="0" borderId="0" xfId="0" quotePrefix="1" applyNumberFormat="1"/>
    <xf numFmtId="0" fontId="5" fillId="0" borderId="0" xfId="0" quotePrefix="1" applyNumberFormat="1" applyFont="1" applyFill="1"/>
    <xf numFmtId="0" fontId="5" fillId="0" borderId="0" xfId="0" applyNumberFormat="1" applyFont="1"/>
    <xf numFmtId="0" fontId="6" fillId="0" borderId="0" xfId="0" applyNumberFormat="1" applyFont="1"/>
    <xf numFmtId="0" fontId="7" fillId="0" borderId="0" xfId="0" applyNumberFormat="1" applyFont="1"/>
    <xf numFmtId="0" fontId="8" fillId="0" borderId="0" xfId="0" applyFont="1"/>
    <xf numFmtId="0" fontId="5" fillId="0" borderId="0" xfId="0" quotePrefix="1" applyFont="1"/>
    <xf numFmtId="0" fontId="5" fillId="0" borderId="0" xfId="0" quotePrefix="1" applyNumberFormat="1" applyFont="1"/>
    <xf numFmtId="0" fontId="1" fillId="0" borderId="1" xfId="1" applyNumberFormat="1"/>
    <xf numFmtId="0" fontId="0" fillId="0" borderId="4" xfId="0" applyNumberFormat="1" applyFill="1" applyBorder="1"/>
    <xf numFmtId="0" fontId="6" fillId="0" borderId="0" xfId="0" applyFont="1"/>
    <xf numFmtId="0" fontId="9" fillId="0" borderId="0" xfId="0" applyFont="1"/>
    <xf numFmtId="0" fontId="8" fillId="0" borderId="0" xfId="0" applyNumberFormat="1" applyFont="1"/>
    <xf numFmtId="2" fontId="0" fillId="0" borderId="0" xfId="0" applyNumberFormat="1"/>
    <xf numFmtId="0" fontId="7" fillId="0" borderId="0" xfId="0" quotePrefix="1" applyFont="1"/>
    <xf numFmtId="0" fontId="1" fillId="0" borderId="1" xfId="1" applyBorder="1"/>
    <xf numFmtId="0" fontId="0" fillId="0" borderId="0" xfId="0" applyBorder="1"/>
    <xf numFmtId="0" fontId="0" fillId="0" borderId="0" xfId="0" applyNumberFormat="1" applyBorder="1"/>
    <xf numFmtId="0" fontId="1" fillId="0" borderId="7" xfId="1" applyBorder="1"/>
    <xf numFmtId="0" fontId="0" fillId="0" borderId="6" xfId="0" applyBorder="1"/>
    <xf numFmtId="0" fontId="5" fillId="0" borderId="6" xfId="0" applyNumberFormat="1" applyFont="1" applyBorder="1"/>
    <xf numFmtId="14" fontId="5" fillId="0" borderId="6" xfId="0" applyNumberFormat="1" applyFont="1" applyBorder="1"/>
    <xf numFmtId="0" fontId="0" fillId="0" borderId="6" xfId="0" applyNumberFormat="1" applyBorder="1"/>
    <xf numFmtId="0" fontId="0" fillId="0" borderId="6" xfId="0" quotePrefix="1" applyNumberFormat="1" applyBorder="1"/>
    <xf numFmtId="0" fontId="5" fillId="0" borderId="6" xfId="0" quotePrefix="1" applyNumberFormat="1" applyFont="1" applyFill="1" applyBorder="1"/>
    <xf numFmtId="0" fontId="5" fillId="0" borderId="0" xfId="0" applyNumberFormat="1" applyFont="1" applyBorder="1"/>
    <xf numFmtId="14" fontId="5" fillId="0" borderId="0" xfId="0" applyNumberFormat="1" applyFont="1" applyBorder="1"/>
    <xf numFmtId="0" fontId="0" fillId="0" borderId="0" xfId="0" quotePrefix="1" applyNumberFormat="1" applyBorder="1"/>
    <xf numFmtId="0" fontId="5" fillId="0" borderId="0" xfId="0" quotePrefix="1" applyNumberFormat="1" applyFont="1" applyFill="1" applyBorder="1"/>
    <xf numFmtId="0" fontId="0" fillId="3" borderId="8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5" xfId="0" applyFill="1" applyBorder="1" applyAlignment="1">
      <alignment horizontal="right"/>
    </xf>
    <xf numFmtId="0" fontId="0" fillId="0" borderId="9" xfId="0" applyFill="1" applyBorder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9" fontId="0" fillId="0" borderId="0" xfId="2" applyFont="1"/>
    <xf numFmtId="10" fontId="0" fillId="0" borderId="0" xfId="2" applyNumberFormat="1" applyFont="1"/>
    <xf numFmtId="0" fontId="0" fillId="0" borderId="0" xfId="2" applyNumberFormat="1" applyFont="1"/>
    <xf numFmtId="164" fontId="0" fillId="0" borderId="0" xfId="2" applyNumberFormat="1" applyFont="1"/>
    <xf numFmtId="164" fontId="0" fillId="0" borderId="0" xfId="2" applyNumberFormat="1" applyFont="1" applyFill="1"/>
    <xf numFmtId="165" fontId="0" fillId="0" borderId="0" xfId="2" applyNumberFormat="1" applyFon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eading 1" xfId="1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44"/>
  <sheetViews>
    <sheetView topLeftCell="A16" workbookViewId="0">
      <selection activeCell="W40" sqref="V40:W42"/>
    </sheetView>
  </sheetViews>
  <sheetFormatPr defaultRowHeight="15" x14ac:dyDescent="0.25"/>
  <cols>
    <col min="5" max="5" width="10.7109375" bestFit="1" customWidth="1"/>
    <col min="10" max="10" width="10.7109375" bestFit="1" customWidth="1"/>
    <col min="15" max="15" width="10.7109375" bestFit="1" customWidth="1"/>
    <col min="20" max="20" width="10.7109375" bestFit="1" customWidth="1"/>
    <col min="24" max="24" width="10.7109375" bestFit="1" customWidth="1"/>
  </cols>
  <sheetData>
    <row r="1" spans="1:24" s="2" customFormat="1" ht="20.25" thickBot="1" x14ac:dyDescent="0.35">
      <c r="A1" s="1" t="s">
        <v>20</v>
      </c>
      <c r="D1" s="13" t="s">
        <v>27</v>
      </c>
      <c r="E1" s="13"/>
    </row>
    <row r="2" spans="1:24" ht="15.75" thickTop="1" x14ac:dyDescent="0.25">
      <c r="C2">
        <v>10</v>
      </c>
      <c r="D2" t="s">
        <v>1</v>
      </c>
      <c r="E2" t="s">
        <v>2</v>
      </c>
      <c r="H2">
        <v>5</v>
      </c>
      <c r="I2" t="s">
        <v>1</v>
      </c>
      <c r="J2" t="s">
        <v>2</v>
      </c>
      <c r="M2">
        <v>1</v>
      </c>
      <c r="N2" t="s">
        <v>1</v>
      </c>
      <c r="O2" t="s">
        <v>2</v>
      </c>
      <c r="R2">
        <v>0.5</v>
      </c>
      <c r="S2" t="s">
        <v>1</v>
      </c>
      <c r="T2" t="s">
        <v>2</v>
      </c>
      <c r="V2" t="s">
        <v>34</v>
      </c>
      <c r="X2" t="s">
        <v>2</v>
      </c>
    </row>
    <row r="3" spans="1:24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J3" s="9"/>
      <c r="K3" s="9"/>
      <c r="L3" s="9"/>
      <c r="M3" s="9" t="s">
        <v>10</v>
      </c>
      <c r="N3" s="9" t="s">
        <v>11</v>
      </c>
      <c r="O3" s="9"/>
      <c r="P3" s="9"/>
      <c r="Q3" s="9"/>
      <c r="R3" s="9" t="s">
        <v>10</v>
      </c>
      <c r="S3" s="9" t="s">
        <v>11</v>
      </c>
      <c r="V3" s="9" t="s">
        <v>10</v>
      </c>
      <c r="W3" s="9" t="s">
        <v>11</v>
      </c>
    </row>
    <row r="4" spans="1:24" ht="15.75" thickBot="1" x14ac:dyDescent="0.3">
      <c r="A4" s="71" t="s">
        <v>12</v>
      </c>
      <c r="B4" s="3" t="s">
        <v>4</v>
      </c>
      <c r="C4" s="15">
        <v>83.861924006087605</v>
      </c>
      <c r="D4" s="15">
        <v>87.779085135000187</v>
      </c>
      <c r="E4" s="14">
        <v>45210</v>
      </c>
      <c r="G4" s="3" t="s">
        <v>4</v>
      </c>
      <c r="H4" s="16">
        <v>97.472224281090163</v>
      </c>
      <c r="I4" s="16">
        <v>113.1855533093531</v>
      </c>
      <c r="J4" s="14">
        <v>45210</v>
      </c>
      <c r="L4" s="3" t="s">
        <v>4</v>
      </c>
      <c r="M4" s="15">
        <v>90.686382104754912</v>
      </c>
      <c r="N4" s="15">
        <v>109.57187462841421</v>
      </c>
      <c r="O4" s="14">
        <v>45210</v>
      </c>
      <c r="Q4" s="3" t="s">
        <v>4</v>
      </c>
      <c r="R4" s="30">
        <v>131.01828455973805</v>
      </c>
      <c r="S4" s="30">
        <v>118.94959568693528</v>
      </c>
      <c r="T4" s="14">
        <v>45210</v>
      </c>
      <c r="V4">
        <v>95.077849354839188</v>
      </c>
      <c r="W4">
        <v>104.9221506451608</v>
      </c>
      <c r="X4" s="14">
        <v>45210</v>
      </c>
    </row>
    <row r="5" spans="1:24" ht="15.75" thickBot="1" x14ac:dyDescent="0.3">
      <c r="A5" s="71"/>
      <c r="B5" s="3" t="s">
        <v>5</v>
      </c>
      <c r="C5">
        <v>75.956943834761191</v>
      </c>
      <c r="D5">
        <v>87.279287132164157</v>
      </c>
      <c r="E5" s="19">
        <v>45394</v>
      </c>
      <c r="G5" s="3" t="s">
        <v>5</v>
      </c>
      <c r="H5">
        <v>86.643182542551159</v>
      </c>
      <c r="I5">
        <v>92.347770406243612</v>
      </c>
      <c r="J5" s="19">
        <v>45394</v>
      </c>
      <c r="L5" s="3" t="s">
        <v>5</v>
      </c>
      <c r="M5">
        <v>90.227662413108945</v>
      </c>
      <c r="N5">
        <v>97.50782961812638</v>
      </c>
      <c r="O5" s="19">
        <v>45394</v>
      </c>
      <c r="Q5" s="3" t="s">
        <v>5</v>
      </c>
      <c r="R5">
        <v>97.781932262193195</v>
      </c>
      <c r="S5">
        <v>92.970538283221003</v>
      </c>
      <c r="T5" s="19">
        <v>45394</v>
      </c>
      <c r="V5" s="57">
        <v>99.737382038751434</v>
      </c>
      <c r="W5" s="58">
        <v>100.26261796124855</v>
      </c>
      <c r="X5" s="19">
        <v>45394</v>
      </c>
    </row>
    <row r="6" spans="1:24" x14ac:dyDescent="0.25">
      <c r="A6" s="71"/>
      <c r="B6" s="3" t="s">
        <v>6</v>
      </c>
      <c r="C6">
        <v>104.87635634381742</v>
      </c>
      <c r="D6">
        <v>103.24745565181728</v>
      </c>
      <c r="E6" s="19" t="s">
        <v>29</v>
      </c>
      <c r="G6" s="3" t="s">
        <v>6</v>
      </c>
      <c r="H6">
        <v>92.148519327939653</v>
      </c>
      <c r="I6">
        <v>96.30128390270319</v>
      </c>
      <c r="J6" s="19" t="s">
        <v>29</v>
      </c>
      <c r="L6" s="3" t="s">
        <v>6</v>
      </c>
      <c r="M6" s="18">
        <v>95.166738266050515</v>
      </c>
      <c r="N6" s="18">
        <v>99.029475727511922</v>
      </c>
      <c r="O6" s="19" t="s">
        <v>29</v>
      </c>
      <c r="Q6" s="3" t="s">
        <v>6</v>
      </c>
      <c r="R6">
        <v>104.6021160375337</v>
      </c>
      <c r="S6">
        <v>105.8342397032398</v>
      </c>
      <c r="T6" s="19" t="s">
        <v>29</v>
      </c>
      <c r="V6" s="57">
        <v>97.394219009842047</v>
      </c>
      <c r="W6" s="58">
        <v>102.60578099015795</v>
      </c>
      <c r="X6" s="19" t="s">
        <v>29</v>
      </c>
    </row>
    <row r="7" spans="1:24" x14ac:dyDescent="0.25">
      <c r="A7" s="3"/>
      <c r="B7" s="6" t="s">
        <v>7</v>
      </c>
      <c r="C7" s="18">
        <f>AVERAGE(C4:D6)</f>
        <v>90.500175350607961</v>
      </c>
      <c r="G7" s="6" t="s">
        <v>7</v>
      </c>
      <c r="H7" s="18">
        <f>AVERAGE(H4:I6)</f>
        <v>96.349755628313474</v>
      </c>
      <c r="L7" s="6" t="s">
        <v>7</v>
      </c>
      <c r="M7" s="18">
        <f>AVERAGE(M4:N6)</f>
        <v>97.031660459661154</v>
      </c>
      <c r="Q7" s="6" t="s">
        <v>7</v>
      </c>
      <c r="R7" s="18">
        <f>AVERAGE(R4:S6)</f>
        <v>108.52611775547685</v>
      </c>
    </row>
    <row r="8" spans="1:24" x14ac:dyDescent="0.25">
      <c r="A8" s="3"/>
      <c r="B8" s="3" t="s">
        <v>8</v>
      </c>
      <c r="C8" s="18">
        <f>STDEV(C4:D6)</f>
        <v>11.33594417541703</v>
      </c>
      <c r="G8" s="3" t="s">
        <v>8</v>
      </c>
      <c r="H8" s="18">
        <f>STDEV(H4:I6)</f>
        <v>9.0839441013255762</v>
      </c>
      <c r="L8" s="3" t="s">
        <v>8</v>
      </c>
      <c r="M8" s="18">
        <f>STDEV(M4:N6)</f>
        <v>7.0923882566745515</v>
      </c>
      <c r="Q8" s="3" t="s">
        <v>8</v>
      </c>
      <c r="R8" s="18">
        <f>STDEV(R4:S6)</f>
        <v>14.103928752660332</v>
      </c>
    </row>
    <row r="9" spans="1:24" x14ac:dyDescent="0.25">
      <c r="A9" s="3"/>
      <c r="B9" s="3"/>
      <c r="C9" s="7"/>
      <c r="G9" s="3"/>
      <c r="H9" s="7"/>
      <c r="L9" s="3"/>
      <c r="M9" s="7"/>
      <c r="Q9" s="3"/>
      <c r="R9" s="7"/>
    </row>
    <row r="10" spans="1:24" x14ac:dyDescent="0.25">
      <c r="A10" s="6" t="s">
        <v>3</v>
      </c>
      <c r="B10" s="9"/>
      <c r="C10" s="9" t="s">
        <v>10</v>
      </c>
      <c r="D10" s="9" t="s">
        <v>11</v>
      </c>
      <c r="E10" s="9"/>
      <c r="F10" s="9"/>
      <c r="G10" s="9"/>
      <c r="H10" s="9" t="s">
        <v>10</v>
      </c>
      <c r="I10" s="9" t="s">
        <v>11</v>
      </c>
      <c r="K10" s="9"/>
      <c r="L10" s="9"/>
      <c r="M10" s="9" t="s">
        <v>10</v>
      </c>
      <c r="N10" s="9" t="s">
        <v>11</v>
      </c>
      <c r="O10" s="9"/>
      <c r="P10" s="9"/>
      <c r="Q10" s="9"/>
      <c r="R10" s="9" t="s">
        <v>10</v>
      </c>
      <c r="S10" s="9" t="s">
        <v>11</v>
      </c>
    </row>
    <row r="11" spans="1:24" x14ac:dyDescent="0.25">
      <c r="A11" s="71" t="s">
        <v>13</v>
      </c>
      <c r="B11" s="3" t="s">
        <v>4</v>
      </c>
      <c r="C11">
        <v>68.648228783539508</v>
      </c>
      <c r="D11">
        <v>65.830987122420154</v>
      </c>
      <c r="E11" s="14">
        <v>45210</v>
      </c>
      <c r="G11" s="3" t="s">
        <v>4</v>
      </c>
      <c r="H11">
        <v>66.775379387842079</v>
      </c>
      <c r="I11">
        <v>66.075497691323477</v>
      </c>
      <c r="J11" s="14">
        <v>45210</v>
      </c>
      <c r="L11" s="3" t="s">
        <v>4</v>
      </c>
      <c r="M11">
        <v>92.223547839322322</v>
      </c>
      <c r="N11">
        <v>95.953355588560015</v>
      </c>
      <c r="O11" s="14">
        <v>45210</v>
      </c>
      <c r="Q11" s="3" t="s">
        <v>4</v>
      </c>
      <c r="R11" s="30">
        <v>140.72569583435063</v>
      </c>
      <c r="S11" s="30">
        <v>166.21733739970094</v>
      </c>
      <c r="T11" s="14">
        <v>45210</v>
      </c>
      <c r="V11">
        <v>87.657985558971447</v>
      </c>
      <c r="W11">
        <v>112.34201444102854</v>
      </c>
      <c r="X11" s="14">
        <v>45210</v>
      </c>
    </row>
    <row r="12" spans="1:24" x14ac:dyDescent="0.25">
      <c r="A12" s="71"/>
      <c r="B12" s="3" t="s">
        <v>5</v>
      </c>
      <c r="C12">
        <v>102.48795341476058</v>
      </c>
      <c r="D12">
        <v>111.76867220104832</v>
      </c>
      <c r="E12" s="19">
        <v>45394</v>
      </c>
      <c r="G12" s="3" t="s">
        <v>5</v>
      </c>
      <c r="H12">
        <v>97.891150251193196</v>
      </c>
      <c r="I12">
        <v>112.98696750197226</v>
      </c>
      <c r="J12" s="19">
        <v>45394</v>
      </c>
      <c r="L12" s="3" t="s">
        <v>5</v>
      </c>
      <c r="M12">
        <v>98.844828568777771</v>
      </c>
      <c r="N12">
        <v>114.18878428115191</v>
      </c>
      <c r="O12" s="19">
        <v>45394</v>
      </c>
      <c r="Q12" s="3" t="s">
        <v>5</v>
      </c>
      <c r="R12" s="36">
        <v>145.93992287891567</v>
      </c>
      <c r="S12" s="36">
        <v>161.7282398417959</v>
      </c>
      <c r="T12" s="19">
        <v>45394</v>
      </c>
      <c r="V12" s="59">
        <v>93.514605915855228</v>
      </c>
      <c r="W12" s="58">
        <v>106.48539408414479</v>
      </c>
      <c r="X12" s="19">
        <v>45394</v>
      </c>
    </row>
    <row r="13" spans="1:24" x14ac:dyDescent="0.25">
      <c r="A13" s="71"/>
      <c r="B13" s="3" t="s">
        <v>6</v>
      </c>
      <c r="C13">
        <v>91.802510576323442</v>
      </c>
      <c r="D13">
        <v>86.692787946709529</v>
      </c>
      <c r="E13" s="19" t="s">
        <v>29</v>
      </c>
      <c r="G13" s="3" t="s">
        <v>6</v>
      </c>
      <c r="H13">
        <v>99.880389685787009</v>
      </c>
      <c r="I13">
        <v>96.856946808129834</v>
      </c>
      <c r="J13" s="19" t="s">
        <v>29</v>
      </c>
      <c r="L13" s="3" t="s">
        <v>6</v>
      </c>
      <c r="M13" s="18">
        <v>96.126744509989663</v>
      </c>
      <c r="N13" s="18">
        <v>86.631596166949933</v>
      </c>
      <c r="O13" s="19" t="s">
        <v>29</v>
      </c>
      <c r="Q13" s="3" t="s">
        <v>6</v>
      </c>
      <c r="R13" s="30">
        <v>130.20348104279984</v>
      </c>
      <c r="S13" s="30">
        <v>134.44187799155952</v>
      </c>
      <c r="T13" s="19" t="s">
        <v>29</v>
      </c>
      <c r="V13" s="59">
        <v>94.462047913170764</v>
      </c>
      <c r="W13" s="58">
        <v>105.53795208682921</v>
      </c>
      <c r="X13" s="19" t="s">
        <v>29</v>
      </c>
    </row>
    <row r="14" spans="1:24" x14ac:dyDescent="0.25">
      <c r="A14" s="3"/>
      <c r="B14" s="6" t="s">
        <v>7</v>
      </c>
      <c r="C14" s="18">
        <f>AVERAGE(C11:D13)</f>
        <v>87.871856674133596</v>
      </c>
      <c r="G14" s="6" t="s">
        <v>7</v>
      </c>
      <c r="H14" s="18">
        <f>AVERAGE(H11:I13)</f>
        <v>90.07772188770798</v>
      </c>
      <c r="L14" s="6" t="s">
        <v>7</v>
      </c>
      <c r="M14" s="18">
        <f>AVERAGE(M11:N13)</f>
        <v>97.328142825791943</v>
      </c>
      <c r="Q14" s="6" t="s">
        <v>7</v>
      </c>
      <c r="R14" s="18">
        <f>AVERAGE(R11:S13)</f>
        <v>146.54275916485375</v>
      </c>
    </row>
    <row r="15" spans="1:24" x14ac:dyDescent="0.25">
      <c r="A15" s="3"/>
      <c r="B15" s="3" t="s">
        <v>8</v>
      </c>
      <c r="C15" s="18">
        <f>STDEV(C11:D13)</f>
        <v>18.203714562106391</v>
      </c>
      <c r="G15" s="3" t="s">
        <v>8</v>
      </c>
      <c r="H15" s="18">
        <f>STDEV(H11:I13)</f>
        <v>19.219986036632449</v>
      </c>
      <c r="L15" s="3" t="s">
        <v>8</v>
      </c>
      <c r="M15" s="18">
        <f>STDEV(M11:N13)</f>
        <v>9.2778010777416746</v>
      </c>
      <c r="Q15" s="3" t="s">
        <v>8</v>
      </c>
      <c r="R15" s="18">
        <f>STDEV(R11:S13)</f>
        <v>14.596525779839872</v>
      </c>
    </row>
    <row r="16" spans="1:24" x14ac:dyDescent="0.25">
      <c r="A16" s="3"/>
      <c r="B16" s="3"/>
      <c r="C16" s="7"/>
      <c r="G16" s="3"/>
      <c r="H16" s="7"/>
      <c r="L16" s="3"/>
      <c r="M16" s="7"/>
      <c r="Q16" s="3"/>
      <c r="R16" s="7"/>
      <c r="T16" s="5"/>
    </row>
    <row r="18" spans="1:24" x14ac:dyDescent="0.25">
      <c r="A18" s="6" t="s">
        <v>15</v>
      </c>
      <c r="B18" s="9"/>
      <c r="C18" s="9" t="s">
        <v>10</v>
      </c>
      <c r="D18" s="9" t="s">
        <v>11</v>
      </c>
      <c r="E18" s="9"/>
      <c r="F18" s="9"/>
      <c r="G18" s="9"/>
      <c r="H18" s="9" t="s">
        <v>10</v>
      </c>
      <c r="I18" s="9" t="s">
        <v>11</v>
      </c>
      <c r="J18" s="9"/>
      <c r="K18" s="9"/>
      <c r="L18" s="9"/>
      <c r="M18" s="9" t="s">
        <v>10</v>
      </c>
      <c r="N18" s="9" t="s">
        <v>11</v>
      </c>
      <c r="O18" s="9"/>
      <c r="P18" s="9"/>
      <c r="Q18" s="9"/>
      <c r="R18" s="9" t="s">
        <v>10</v>
      </c>
      <c r="S18" s="9" t="s">
        <v>11</v>
      </c>
      <c r="T18" s="4"/>
    </row>
    <row r="19" spans="1:24" ht="15.75" thickBot="1" x14ac:dyDescent="0.3">
      <c r="A19" s="71" t="s">
        <v>12</v>
      </c>
      <c r="B19" s="3" t="s">
        <v>4</v>
      </c>
      <c r="C19" s="15">
        <v>97.396307953527412</v>
      </c>
      <c r="D19" s="15">
        <v>93.203440490797135</v>
      </c>
      <c r="E19" s="14">
        <v>45210</v>
      </c>
      <c r="G19" s="3" t="s">
        <v>4</v>
      </c>
      <c r="H19" s="16">
        <v>79.393012530579298</v>
      </c>
      <c r="I19" s="16">
        <v>97.724808555092253</v>
      </c>
      <c r="J19" s="14">
        <v>45210</v>
      </c>
      <c r="L19" s="3" t="s">
        <v>4</v>
      </c>
      <c r="M19" s="15">
        <v>103.3584451080519</v>
      </c>
      <c r="N19" s="15">
        <v>95.763107053081228</v>
      </c>
      <c r="O19" s="14">
        <v>45210</v>
      </c>
      <c r="Q19" s="3" t="s">
        <v>4</v>
      </c>
      <c r="R19" s="17">
        <v>58.310984005346732</v>
      </c>
      <c r="S19" s="17">
        <v>65.002493424109403</v>
      </c>
      <c r="T19" s="14">
        <v>45210</v>
      </c>
      <c r="V19">
        <v>100.62075998758479</v>
      </c>
      <c r="W19">
        <v>99.37924001241521</v>
      </c>
      <c r="X19" s="14">
        <v>45210</v>
      </c>
    </row>
    <row r="20" spans="1:24" ht="15.75" thickBot="1" x14ac:dyDescent="0.3">
      <c r="A20" s="71"/>
      <c r="B20" s="3" t="s">
        <v>5</v>
      </c>
      <c r="C20" s="15">
        <v>68.750655353693659</v>
      </c>
      <c r="D20" s="15">
        <v>95.914070843487778</v>
      </c>
      <c r="E20" s="19">
        <v>45394</v>
      </c>
      <c r="G20" s="3" t="s">
        <v>5</v>
      </c>
      <c r="H20" s="15">
        <v>83.512821881018169</v>
      </c>
      <c r="I20" s="15">
        <v>82.728649156877424</v>
      </c>
      <c r="J20" s="19">
        <v>45394</v>
      </c>
      <c r="L20" s="3" t="s">
        <v>5</v>
      </c>
      <c r="M20" s="15">
        <v>77.134674676959875</v>
      </c>
      <c r="N20" s="15">
        <v>92.458403201290736</v>
      </c>
      <c r="O20" s="19">
        <v>45394</v>
      </c>
      <c r="Q20" s="3" t="s">
        <v>5</v>
      </c>
      <c r="R20" s="17">
        <v>112.02740990751316</v>
      </c>
      <c r="S20" s="17">
        <v>117.03029585446592</v>
      </c>
      <c r="T20" s="19">
        <v>45394</v>
      </c>
      <c r="V20" s="57">
        <v>111.60377427335023</v>
      </c>
      <c r="W20" s="58">
        <v>88.396225726649789</v>
      </c>
      <c r="X20" s="19">
        <v>45394</v>
      </c>
    </row>
    <row r="21" spans="1:24" x14ac:dyDescent="0.25">
      <c r="A21" s="71"/>
      <c r="B21" s="3" t="s">
        <v>6</v>
      </c>
      <c r="C21" s="3">
        <v>108.30557630104394</v>
      </c>
      <c r="D21">
        <v>101.25046357110799</v>
      </c>
      <c r="E21" s="19" t="s">
        <v>29</v>
      </c>
      <c r="G21" s="3" t="s">
        <v>6</v>
      </c>
      <c r="H21">
        <v>93.748826252119514</v>
      </c>
      <c r="I21">
        <v>81.708079548096919</v>
      </c>
      <c r="J21" s="19" t="s">
        <v>29</v>
      </c>
      <c r="L21" s="3" t="s">
        <v>6</v>
      </c>
      <c r="M21">
        <v>112.22984028395206</v>
      </c>
      <c r="N21">
        <v>99.812044429052747</v>
      </c>
      <c r="O21" s="19" t="s">
        <v>29</v>
      </c>
      <c r="Q21" s="3" t="s">
        <v>6</v>
      </c>
      <c r="R21">
        <v>106.82200030882223</v>
      </c>
      <c r="S21">
        <v>95.511335420468953</v>
      </c>
      <c r="T21" s="19" t="s">
        <v>29</v>
      </c>
      <c r="V21" s="57">
        <v>101.19089256597323</v>
      </c>
      <c r="W21" s="58">
        <v>98.809107434026771</v>
      </c>
      <c r="X21" s="19" t="s">
        <v>29</v>
      </c>
    </row>
    <row r="22" spans="1:24" x14ac:dyDescent="0.25">
      <c r="A22" s="3"/>
      <c r="B22" s="6" t="s">
        <v>7</v>
      </c>
      <c r="C22" s="18">
        <f>AVERAGE(C19:D21)</f>
        <v>94.136752418942976</v>
      </c>
      <c r="G22" s="6" t="s">
        <v>7</v>
      </c>
      <c r="H22" s="18">
        <f>AVERAGE(H19:I21)</f>
        <v>86.469366320630584</v>
      </c>
      <c r="L22" s="6" t="s">
        <v>7</v>
      </c>
      <c r="M22" s="18">
        <f>AVERAGE(M19:N21)</f>
        <v>96.792752458731442</v>
      </c>
      <c r="Q22" s="6" t="s">
        <v>7</v>
      </c>
      <c r="R22" s="18">
        <f>AVERAGE(R19:S21)</f>
        <v>92.4507531534544</v>
      </c>
    </row>
    <row r="23" spans="1:24" x14ac:dyDescent="0.25">
      <c r="A23" s="3"/>
      <c r="B23" s="3" t="s">
        <v>8</v>
      </c>
      <c r="C23" s="18">
        <f>STDEV(C19:D21)</f>
        <v>13.494213685763265</v>
      </c>
      <c r="G23" s="3" t="s">
        <v>8</v>
      </c>
      <c r="H23" s="18">
        <f>STDEV(H19:I21)</f>
        <v>7.4182783906016105</v>
      </c>
      <c r="L23" s="3" t="s">
        <v>8</v>
      </c>
      <c r="M23" s="18">
        <f>STDEV(M19:N21)</f>
        <v>11.805209864394438</v>
      </c>
      <c r="Q23" s="3" t="s">
        <v>8</v>
      </c>
      <c r="R23" s="18">
        <f>STDEV(R19:S21)</f>
        <v>24.988918013097649</v>
      </c>
    </row>
    <row r="24" spans="1:24" x14ac:dyDescent="0.25">
      <c r="A24" s="3"/>
      <c r="B24" s="3"/>
      <c r="E24" s="5"/>
      <c r="G24" s="3"/>
      <c r="J24" s="5"/>
      <c r="L24" s="3"/>
      <c r="M24" s="8"/>
      <c r="N24" s="8"/>
      <c r="O24" s="5"/>
      <c r="Q24" s="3"/>
    </row>
    <row r="25" spans="1:24" x14ac:dyDescent="0.25">
      <c r="A25" s="6" t="s">
        <v>15</v>
      </c>
      <c r="B25" s="9"/>
      <c r="C25" s="9" t="s">
        <v>10</v>
      </c>
      <c r="D25" s="9" t="s">
        <v>11</v>
      </c>
      <c r="E25" s="9"/>
      <c r="F25" s="9"/>
      <c r="G25" s="9"/>
      <c r="H25" s="9" t="s">
        <v>10</v>
      </c>
      <c r="I25" s="9" t="s">
        <v>11</v>
      </c>
      <c r="J25" s="9"/>
      <c r="K25" s="9"/>
      <c r="L25" s="9"/>
      <c r="M25" s="9" t="s">
        <v>10</v>
      </c>
      <c r="N25" s="9" t="s">
        <v>11</v>
      </c>
      <c r="O25" s="9"/>
      <c r="P25" s="9"/>
      <c r="Q25" s="9"/>
      <c r="R25" s="9" t="s">
        <v>10</v>
      </c>
      <c r="S25" s="9" t="s">
        <v>11</v>
      </c>
    </row>
    <row r="26" spans="1:24" x14ac:dyDescent="0.25">
      <c r="A26" s="71" t="s">
        <v>13</v>
      </c>
      <c r="B26" s="3" t="s">
        <v>4</v>
      </c>
      <c r="C26" s="15">
        <v>66.861275717967828</v>
      </c>
      <c r="D26" s="15">
        <v>77.108270917904704</v>
      </c>
      <c r="E26" s="14">
        <v>45210</v>
      </c>
      <c r="G26" s="3" t="s">
        <v>4</v>
      </c>
      <c r="H26" s="15">
        <v>71.272921649841521</v>
      </c>
      <c r="I26" s="15">
        <v>88.565701718382002</v>
      </c>
      <c r="J26" s="14">
        <v>45210</v>
      </c>
      <c r="L26" s="3" t="s">
        <v>4</v>
      </c>
      <c r="M26" s="15">
        <v>85.691955800801992</v>
      </c>
      <c r="N26" s="15">
        <v>73.181737364751754</v>
      </c>
      <c r="O26" s="14">
        <v>45210</v>
      </c>
      <c r="Q26" s="3" t="s">
        <v>4</v>
      </c>
      <c r="R26" s="30">
        <v>140.36918988443315</v>
      </c>
      <c r="S26" s="30">
        <v>139.78608759397201</v>
      </c>
      <c r="T26" s="14">
        <v>45210</v>
      </c>
      <c r="V26">
        <v>95.842719639565843</v>
      </c>
      <c r="W26">
        <v>104.15728036043417</v>
      </c>
      <c r="X26" s="14">
        <v>45210</v>
      </c>
    </row>
    <row r="27" spans="1:24" x14ac:dyDescent="0.25">
      <c r="A27" s="71"/>
      <c r="B27" s="3" t="s">
        <v>5</v>
      </c>
      <c r="C27">
        <v>114.97826667866124</v>
      </c>
      <c r="D27">
        <v>113.83646019608452</v>
      </c>
      <c r="E27" s="19">
        <v>45394</v>
      </c>
      <c r="G27" s="3" t="s">
        <v>5</v>
      </c>
      <c r="H27">
        <v>104.41021287309688</v>
      </c>
      <c r="I27">
        <v>100.11805791350486</v>
      </c>
      <c r="J27" s="19">
        <v>45394</v>
      </c>
      <c r="L27" s="3" t="s">
        <v>5</v>
      </c>
      <c r="M27">
        <v>114.15610768955871</v>
      </c>
      <c r="N27">
        <v>98.141722165069737</v>
      </c>
      <c r="O27" s="19">
        <v>45394</v>
      </c>
      <c r="Q27" s="3" t="s">
        <v>5</v>
      </c>
      <c r="R27" s="35">
        <v>122.27650941513409</v>
      </c>
      <c r="S27" s="35">
        <v>138.05039561166598</v>
      </c>
      <c r="T27" s="19">
        <v>45394</v>
      </c>
      <c r="V27" s="59">
        <v>101.98951775655894</v>
      </c>
      <c r="W27" s="58">
        <v>98.010482243441075</v>
      </c>
      <c r="X27" s="19">
        <v>45394</v>
      </c>
    </row>
    <row r="28" spans="1:24" x14ac:dyDescent="0.25">
      <c r="A28" s="71"/>
      <c r="B28" s="3" t="s">
        <v>6</v>
      </c>
      <c r="C28" s="3">
        <v>72.680031376417247</v>
      </c>
      <c r="D28">
        <v>82.686576723738384</v>
      </c>
      <c r="E28" s="19" t="s">
        <v>29</v>
      </c>
      <c r="G28" s="3" t="s">
        <v>6</v>
      </c>
      <c r="H28" s="3">
        <v>68.975218420573128</v>
      </c>
      <c r="I28">
        <v>92.415168554626476</v>
      </c>
      <c r="J28" s="19" t="s">
        <v>29</v>
      </c>
      <c r="L28" s="3" t="s">
        <v>6</v>
      </c>
      <c r="M28" s="3">
        <v>82.142012666912464</v>
      </c>
      <c r="N28">
        <v>79.485423311095772</v>
      </c>
      <c r="O28" s="19" t="s">
        <v>29</v>
      </c>
      <c r="Q28" s="3" t="s">
        <v>6</v>
      </c>
      <c r="R28" s="3">
        <v>122.62169707086929</v>
      </c>
      <c r="S28">
        <v>126.56472358900024</v>
      </c>
      <c r="T28" s="19" t="s">
        <v>29</v>
      </c>
      <c r="V28" s="59">
        <v>100.55399753598755</v>
      </c>
      <c r="W28" s="58">
        <v>99.446002464012437</v>
      </c>
      <c r="X28" s="19" t="s">
        <v>29</v>
      </c>
    </row>
    <row r="29" spans="1:24" x14ac:dyDescent="0.25">
      <c r="A29" s="3"/>
      <c r="B29" s="6" t="s">
        <v>7</v>
      </c>
      <c r="C29" s="18">
        <f>AVERAGE(C26:D28)</f>
        <v>88.025146935128987</v>
      </c>
      <c r="G29" s="6" t="s">
        <v>7</v>
      </c>
      <c r="H29" s="18">
        <f>AVERAGE(H26:I28)</f>
        <v>87.62621352167082</v>
      </c>
      <c r="L29" s="6" t="s">
        <v>7</v>
      </c>
      <c r="M29" s="18">
        <f>AVERAGE(M26:N28)</f>
        <v>88.799826499698398</v>
      </c>
      <c r="Q29" s="6" t="s">
        <v>7</v>
      </c>
      <c r="R29" s="18">
        <f>AVERAGE(R26:S28)</f>
        <v>131.61143386084581</v>
      </c>
    </row>
    <row r="30" spans="1:24" x14ac:dyDescent="0.25">
      <c r="A30" s="3"/>
      <c r="B30" s="3" t="s">
        <v>8</v>
      </c>
      <c r="C30" s="18">
        <f>STDEV(C26:D28)</f>
        <v>21.08912082780386</v>
      </c>
      <c r="G30" s="3" t="s">
        <v>8</v>
      </c>
      <c r="H30" s="18">
        <f>STDEV(H26:I28)</f>
        <v>14.675525968252643</v>
      </c>
      <c r="L30" s="3" t="s">
        <v>8</v>
      </c>
      <c r="M30" s="18">
        <f>STDEV(M26:N28)</f>
        <v>14.932382065176554</v>
      </c>
      <c r="Q30" s="3" t="s">
        <v>8</v>
      </c>
      <c r="R30" s="18">
        <f>STDEV(R26:S28)</f>
        <v>8.6995281387196517</v>
      </c>
    </row>
    <row r="32" spans="1:24" x14ac:dyDescent="0.25">
      <c r="A32" s="6" t="s">
        <v>9</v>
      </c>
      <c r="B32" s="9"/>
      <c r="C32" s="9" t="s">
        <v>10</v>
      </c>
      <c r="D32" s="9" t="s">
        <v>11</v>
      </c>
      <c r="E32" s="9"/>
      <c r="F32" s="9"/>
      <c r="G32" s="9"/>
      <c r="H32" s="9" t="s">
        <v>10</v>
      </c>
      <c r="I32" s="9" t="s">
        <v>11</v>
      </c>
      <c r="J32" s="9"/>
      <c r="K32" s="9"/>
      <c r="L32" s="9"/>
      <c r="M32" s="9" t="s">
        <v>10</v>
      </c>
      <c r="N32" s="9" t="s">
        <v>11</v>
      </c>
      <c r="O32" s="9"/>
      <c r="P32" s="9"/>
      <c r="Q32" s="9"/>
      <c r="R32" s="9" t="s">
        <v>10</v>
      </c>
      <c r="S32" s="9" t="s">
        <v>11</v>
      </c>
    </row>
    <row r="33" spans="1:24" ht="15.75" thickBot="1" x14ac:dyDescent="0.3">
      <c r="A33" s="71" t="s">
        <v>12</v>
      </c>
      <c r="B33" s="3" t="s">
        <v>4</v>
      </c>
      <c r="C33">
        <v>82.8669263056603</v>
      </c>
      <c r="D33">
        <v>71.029198224251161</v>
      </c>
      <c r="E33" s="14">
        <v>45210</v>
      </c>
      <c r="G33" s="3" t="s">
        <v>4</v>
      </c>
      <c r="H33">
        <v>112.59338164281642</v>
      </c>
      <c r="I33">
        <v>104.42253910432702</v>
      </c>
      <c r="J33" s="14">
        <v>45210</v>
      </c>
      <c r="L33" s="3" t="s">
        <v>4</v>
      </c>
      <c r="M33">
        <v>79.192935509676929</v>
      </c>
      <c r="N33">
        <v>113.9912149760809</v>
      </c>
      <c r="O33" s="14">
        <v>45210</v>
      </c>
      <c r="Q33" s="3" t="s">
        <v>4</v>
      </c>
      <c r="R33">
        <v>110.4802834543565</v>
      </c>
      <c r="S33">
        <v>129.17135184860956</v>
      </c>
      <c r="T33" s="14">
        <v>45210</v>
      </c>
      <c r="V33">
        <v>99.198047053968324</v>
      </c>
      <c r="W33">
        <v>100.80195294603168</v>
      </c>
      <c r="X33" s="14">
        <v>45210</v>
      </c>
    </row>
    <row r="34" spans="1:24" ht="15.75" thickBot="1" x14ac:dyDescent="0.3">
      <c r="A34" s="71"/>
      <c r="B34" s="3" t="s">
        <v>5</v>
      </c>
      <c r="C34">
        <v>85.334371234872549</v>
      </c>
      <c r="D34">
        <v>95.351821431243152</v>
      </c>
      <c r="E34" s="19">
        <v>45394</v>
      </c>
      <c r="G34" s="3" t="s">
        <v>5</v>
      </c>
      <c r="H34">
        <v>90.620576530986355</v>
      </c>
      <c r="I34">
        <v>92.005763276021995</v>
      </c>
      <c r="J34" s="19">
        <v>45394</v>
      </c>
      <c r="L34" s="3" t="s">
        <v>5</v>
      </c>
      <c r="M34">
        <v>111.53136783900229</v>
      </c>
      <c r="N34">
        <v>101.01391883966922</v>
      </c>
      <c r="O34" s="19">
        <v>45394</v>
      </c>
      <c r="Q34" s="3" t="s">
        <v>5</v>
      </c>
      <c r="R34">
        <v>96.741925282312067</v>
      </c>
      <c r="S34">
        <v>92.07739589922727</v>
      </c>
      <c r="T34" s="19">
        <v>45394</v>
      </c>
      <c r="V34" s="57">
        <v>97.243189513248211</v>
      </c>
      <c r="W34" s="58">
        <v>102.75681048675179</v>
      </c>
      <c r="X34" s="19">
        <v>45394</v>
      </c>
    </row>
    <row r="35" spans="1:24" x14ac:dyDescent="0.25">
      <c r="A35" s="71"/>
      <c r="B35" s="3" t="s">
        <v>6</v>
      </c>
      <c r="C35" s="3">
        <v>102.9026458342166</v>
      </c>
      <c r="D35">
        <v>74.600575766126042</v>
      </c>
      <c r="E35" s="19" t="s">
        <v>29</v>
      </c>
      <c r="G35" s="3" t="s">
        <v>6</v>
      </c>
      <c r="H35" s="3">
        <v>100.316688141689</v>
      </c>
      <c r="I35">
        <v>93.18350524824146</v>
      </c>
      <c r="J35" s="19" t="s">
        <v>29</v>
      </c>
      <c r="L35" s="3" t="s">
        <v>6</v>
      </c>
      <c r="M35" s="3">
        <v>107.51678600758564</v>
      </c>
      <c r="N35">
        <v>92.827749864114907</v>
      </c>
      <c r="O35" s="19" t="s">
        <v>29</v>
      </c>
      <c r="Q35" s="3" t="s">
        <v>6</v>
      </c>
      <c r="R35" s="3">
        <v>98.957600233817743</v>
      </c>
      <c r="S35">
        <v>92.306441257860911</v>
      </c>
      <c r="T35" s="19" t="s">
        <v>29</v>
      </c>
      <c r="V35" s="57">
        <v>106.99184597544591</v>
      </c>
      <c r="W35" s="58">
        <v>93.008154024554116</v>
      </c>
      <c r="X35" s="19" t="s">
        <v>29</v>
      </c>
    </row>
    <row r="36" spans="1:24" x14ac:dyDescent="0.25">
      <c r="A36" s="3"/>
      <c r="B36" s="6" t="s">
        <v>7</v>
      </c>
      <c r="C36" s="18">
        <f>AVERAGE(C33:D35)</f>
        <v>85.347589799394953</v>
      </c>
      <c r="G36" s="6" t="s">
        <v>7</v>
      </c>
      <c r="H36" s="18">
        <f>AVERAGE(H33:I35)</f>
        <v>98.857075657347039</v>
      </c>
      <c r="L36" s="6" t="s">
        <v>7</v>
      </c>
      <c r="M36" s="18">
        <f>AVERAGE(M33:N35)</f>
        <v>101.01232883935496</v>
      </c>
      <c r="Q36" s="6" t="s">
        <v>7</v>
      </c>
      <c r="R36" s="18">
        <f>AVERAGE(R33:S35)</f>
        <v>103.28916632936399</v>
      </c>
    </row>
    <row r="37" spans="1:24" x14ac:dyDescent="0.25">
      <c r="A37" s="3"/>
      <c r="B37" s="3" t="s">
        <v>8</v>
      </c>
      <c r="C37" s="18">
        <f>STDEV(C33:D35)</f>
        <v>12.123804328340412</v>
      </c>
      <c r="G37" s="3" t="s">
        <v>8</v>
      </c>
      <c r="H37" s="18">
        <f>STDEV(H33:I35)</f>
        <v>8.5879072480165473</v>
      </c>
      <c r="L37" s="3" t="s">
        <v>8</v>
      </c>
      <c r="M37" s="18">
        <f>STDEV(M33:N35)</f>
        <v>13.149014340890981</v>
      </c>
      <c r="Q37" s="3" t="s">
        <v>8</v>
      </c>
      <c r="R37" s="18">
        <f>STDEV(R33:S35)</f>
        <v>14.349582356992913</v>
      </c>
    </row>
    <row r="38" spans="1:24" x14ac:dyDescent="0.25">
      <c r="A38" s="3"/>
      <c r="B38" s="3"/>
      <c r="C38" s="3"/>
      <c r="E38" s="5"/>
      <c r="G38" s="3"/>
      <c r="H38" s="3"/>
      <c r="J38" s="5"/>
      <c r="L38" s="3"/>
      <c r="M38" s="3"/>
      <c r="O38" s="5"/>
      <c r="Q38" s="3"/>
      <c r="R38" s="3"/>
    </row>
    <row r="39" spans="1:24" x14ac:dyDescent="0.25">
      <c r="A39" s="6" t="s">
        <v>9</v>
      </c>
      <c r="B39" s="9"/>
      <c r="C39" s="9" t="s">
        <v>10</v>
      </c>
      <c r="D39" s="9" t="s">
        <v>11</v>
      </c>
      <c r="E39" s="9"/>
      <c r="F39" s="9"/>
      <c r="G39" s="9"/>
      <c r="H39" s="9" t="s">
        <v>10</v>
      </c>
      <c r="I39" s="9" t="s">
        <v>11</v>
      </c>
      <c r="J39" s="9"/>
      <c r="K39" s="9"/>
      <c r="L39" s="9"/>
      <c r="M39" s="9" t="s">
        <v>10</v>
      </c>
      <c r="N39" s="9" t="s">
        <v>11</v>
      </c>
      <c r="O39" s="9"/>
      <c r="P39" s="9"/>
      <c r="Q39" s="9"/>
      <c r="R39" s="9" t="s">
        <v>10</v>
      </c>
      <c r="S39" s="9" t="s">
        <v>11</v>
      </c>
    </row>
    <row r="40" spans="1:24" x14ac:dyDescent="0.25">
      <c r="A40" s="71" t="s">
        <v>13</v>
      </c>
      <c r="B40" s="3" t="s">
        <v>4</v>
      </c>
      <c r="C40">
        <v>84.2515892094912</v>
      </c>
      <c r="D40">
        <v>68.393062031423028</v>
      </c>
      <c r="E40" s="14">
        <v>45210</v>
      </c>
      <c r="G40" s="3" t="s">
        <v>4</v>
      </c>
      <c r="H40">
        <v>76.131029298900316</v>
      </c>
      <c r="I40">
        <v>69.025804586444394</v>
      </c>
      <c r="J40" s="14">
        <v>45210</v>
      </c>
      <c r="L40" s="3" t="s">
        <v>4</v>
      </c>
      <c r="M40">
        <v>81.021305778631373</v>
      </c>
      <c r="N40">
        <v>96.548288426132302</v>
      </c>
      <c r="O40" s="14">
        <v>45210</v>
      </c>
      <c r="Q40" s="3" t="s">
        <v>4</v>
      </c>
      <c r="R40" s="30">
        <v>155.5516148146157</v>
      </c>
      <c r="S40" s="35">
        <v>168.5331480521485</v>
      </c>
      <c r="T40" s="14">
        <v>45210</v>
      </c>
      <c r="V40">
        <v>95.59828976396399</v>
      </c>
      <c r="W40">
        <v>104.401710236036</v>
      </c>
      <c r="X40" s="14">
        <v>45210</v>
      </c>
    </row>
    <row r="41" spans="1:24" x14ac:dyDescent="0.25">
      <c r="A41" s="71"/>
      <c r="B41" s="3" t="s">
        <v>5</v>
      </c>
      <c r="C41">
        <v>108.60678084709046</v>
      </c>
      <c r="D41">
        <v>114.66395751646044</v>
      </c>
      <c r="E41" s="19">
        <v>45394</v>
      </c>
      <c r="G41" s="3" t="s">
        <v>5</v>
      </c>
      <c r="H41">
        <v>112.88734693045923</v>
      </c>
      <c r="I41">
        <v>109.61548543925275</v>
      </c>
      <c r="J41" s="19">
        <v>45394</v>
      </c>
      <c r="L41" s="3" t="s">
        <v>5</v>
      </c>
      <c r="M41">
        <v>81.123685020517016</v>
      </c>
      <c r="N41">
        <v>91.405251315707559</v>
      </c>
      <c r="O41" s="19">
        <v>45394</v>
      </c>
      <c r="Q41" s="3" t="s">
        <v>5</v>
      </c>
      <c r="R41">
        <v>123.15050740198113</v>
      </c>
      <c r="S41">
        <v>118.11498051260926</v>
      </c>
      <c r="T41" s="19">
        <v>45394</v>
      </c>
      <c r="V41" s="59">
        <v>105.26771590919132</v>
      </c>
      <c r="W41" s="58">
        <v>94.732284090808662</v>
      </c>
      <c r="X41" s="19">
        <v>45394</v>
      </c>
    </row>
    <row r="42" spans="1:24" x14ac:dyDescent="0.25">
      <c r="A42" s="71"/>
      <c r="B42" s="3" t="s">
        <v>6</v>
      </c>
      <c r="C42" s="3">
        <v>105.66403299931847</v>
      </c>
      <c r="D42">
        <v>103.97540526316931</v>
      </c>
      <c r="E42" s="19" t="s">
        <v>29</v>
      </c>
      <c r="G42" s="3" t="s">
        <v>6</v>
      </c>
      <c r="H42" s="3">
        <v>101.18883169826232</v>
      </c>
      <c r="I42">
        <v>106.55382305753722</v>
      </c>
      <c r="J42" s="19" t="s">
        <v>29</v>
      </c>
      <c r="L42" s="3" t="s">
        <v>6</v>
      </c>
      <c r="M42" s="3">
        <v>86.408283495048522</v>
      </c>
      <c r="N42">
        <v>102.10357064506688</v>
      </c>
      <c r="O42" s="19" t="s">
        <v>29</v>
      </c>
      <c r="Q42" s="3" t="s">
        <v>6</v>
      </c>
      <c r="R42" s="3">
        <v>102.04838166135801</v>
      </c>
      <c r="S42">
        <v>114.10462694425665</v>
      </c>
      <c r="T42" s="19" t="s">
        <v>29</v>
      </c>
      <c r="V42" s="59">
        <v>83.581920263142962</v>
      </c>
      <c r="W42" s="58">
        <v>116.41807973685702</v>
      </c>
      <c r="X42" s="19" t="s">
        <v>29</v>
      </c>
    </row>
    <row r="43" spans="1:24" x14ac:dyDescent="0.25">
      <c r="A43" s="3"/>
      <c r="B43" s="6" t="s">
        <v>7</v>
      </c>
      <c r="C43" s="18">
        <f>AVERAGE(C40:D42)</f>
        <v>97.592471311158832</v>
      </c>
      <c r="G43" s="6" t="s">
        <v>7</v>
      </c>
      <c r="H43" s="18">
        <f>AVERAGE(H40:I42)</f>
        <v>95.900386835142697</v>
      </c>
      <c r="L43" s="6" t="s">
        <v>7</v>
      </c>
      <c r="M43" s="18">
        <f>AVERAGE(M40:N42)</f>
        <v>89.768397446850614</v>
      </c>
      <c r="Q43" s="6" t="s">
        <v>7</v>
      </c>
      <c r="R43" s="18">
        <f>AVERAGE(R40:S42)</f>
        <v>130.25054323116154</v>
      </c>
    </row>
    <row r="44" spans="1:24" x14ac:dyDescent="0.25">
      <c r="A44" s="3"/>
      <c r="B44" s="3" t="s">
        <v>8</v>
      </c>
      <c r="C44" s="18">
        <f>STDEV(C40:D42)</f>
        <v>17.602427373908995</v>
      </c>
      <c r="G44" s="3" t="s">
        <v>8</v>
      </c>
      <c r="H44" s="18">
        <f>STDEV(H40:I42)</f>
        <v>18.607497219417027</v>
      </c>
      <c r="L44" s="3" t="s">
        <v>8</v>
      </c>
      <c r="M44" s="18">
        <f>STDEV(M40:N42)</f>
        <v>8.5245028179274147</v>
      </c>
      <c r="Q44" s="3" t="s">
        <v>8</v>
      </c>
      <c r="R44" s="18">
        <f>STDEV(R40:S42)</f>
        <v>25.920790791854859</v>
      </c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44"/>
  <sheetViews>
    <sheetView topLeftCell="A7" workbookViewId="0">
      <selection activeCell="X40" sqref="W40:X42"/>
    </sheetView>
  </sheetViews>
  <sheetFormatPr defaultRowHeight="15" x14ac:dyDescent="0.25"/>
  <cols>
    <col min="5" max="5" width="9.7109375" bestFit="1" customWidth="1"/>
    <col min="23" max="24" width="10.140625" bestFit="1" customWidth="1"/>
  </cols>
  <sheetData>
    <row r="1" spans="1:25" s="2" customFormat="1" ht="20.25" thickBot="1" x14ac:dyDescent="0.35">
      <c r="A1" s="1" t="s">
        <v>0</v>
      </c>
    </row>
    <row r="2" spans="1:25" ht="15.75" thickTop="1" x14ac:dyDescent="0.25">
      <c r="C2">
        <v>300</v>
      </c>
      <c r="D2" t="s">
        <v>1</v>
      </c>
      <c r="E2" t="s">
        <v>2</v>
      </c>
      <c r="H2">
        <v>100</v>
      </c>
      <c r="I2" t="s">
        <v>1</v>
      </c>
      <c r="J2" t="s">
        <v>2</v>
      </c>
      <c r="M2">
        <v>30</v>
      </c>
      <c r="N2" t="s">
        <v>1</v>
      </c>
      <c r="O2" t="s">
        <v>2</v>
      </c>
      <c r="R2">
        <v>10</v>
      </c>
      <c r="S2" t="s">
        <v>1</v>
      </c>
      <c r="T2" t="s">
        <v>2</v>
      </c>
      <c r="W2" t="s">
        <v>34</v>
      </c>
      <c r="Y2" t="s">
        <v>2</v>
      </c>
    </row>
    <row r="3" spans="1:25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J3" s="9"/>
      <c r="K3" s="9"/>
      <c r="L3" s="9"/>
      <c r="M3" s="9" t="s">
        <v>10</v>
      </c>
      <c r="N3" s="9" t="s">
        <v>11</v>
      </c>
      <c r="O3" s="9"/>
      <c r="P3" s="9"/>
      <c r="Q3" s="9"/>
      <c r="R3" s="9" t="s">
        <v>10</v>
      </c>
      <c r="S3" s="9" t="s">
        <v>11</v>
      </c>
      <c r="W3" s="9" t="s">
        <v>10</v>
      </c>
      <c r="X3" s="9" t="s">
        <v>11</v>
      </c>
    </row>
    <row r="4" spans="1:25" x14ac:dyDescent="0.25">
      <c r="A4" s="71" t="s">
        <v>12</v>
      </c>
      <c r="B4" s="3" t="s">
        <v>4</v>
      </c>
      <c r="C4">
        <v>0.74379345421468335</v>
      </c>
      <c r="D4">
        <v>0.7608331369600464</v>
      </c>
      <c r="E4" s="4" t="s">
        <v>25</v>
      </c>
      <c r="G4" s="3" t="s">
        <v>4</v>
      </c>
      <c r="H4">
        <v>0.92286732090717882</v>
      </c>
      <c r="I4">
        <v>0.88387481731556394</v>
      </c>
      <c r="J4" s="4" t="s">
        <v>25</v>
      </c>
      <c r="L4" s="3" t="s">
        <v>4</v>
      </c>
      <c r="M4">
        <v>0.91295843936195564</v>
      </c>
      <c r="N4">
        <v>1.036901313449466</v>
      </c>
      <c r="O4" s="4" t="s">
        <v>25</v>
      </c>
      <c r="Q4" s="3" t="s">
        <v>4</v>
      </c>
      <c r="R4">
        <v>0.8640635320973894</v>
      </c>
      <c r="S4">
        <v>0.84707783354229549</v>
      </c>
      <c r="T4" s="4" t="s">
        <v>25</v>
      </c>
      <c r="W4" s="68">
        <v>1.023701311026217</v>
      </c>
      <c r="X4" s="68">
        <v>0.97629868897378302</v>
      </c>
      <c r="Y4" t="s">
        <v>25</v>
      </c>
    </row>
    <row r="5" spans="1:25" x14ac:dyDescent="0.25">
      <c r="A5" s="71"/>
      <c r="B5" s="3" t="s">
        <v>5</v>
      </c>
      <c r="C5">
        <v>0.80208669674925226</v>
      </c>
      <c r="D5">
        <v>0.7475427311723476</v>
      </c>
      <c r="E5" s="5">
        <v>45446</v>
      </c>
      <c r="G5" s="3" t="s">
        <v>5</v>
      </c>
      <c r="H5">
        <v>0.96287245652799147</v>
      </c>
      <c r="I5">
        <v>0.99895073812821955</v>
      </c>
      <c r="J5" s="5">
        <v>45446</v>
      </c>
      <c r="L5" s="3" t="s">
        <v>5</v>
      </c>
      <c r="M5">
        <v>0.99748885923290687</v>
      </c>
      <c r="N5">
        <v>1.1682719926427396</v>
      </c>
      <c r="O5" s="5">
        <v>45446</v>
      </c>
      <c r="Q5" s="3" t="s">
        <v>5</v>
      </c>
      <c r="R5">
        <v>1.0938070580388046</v>
      </c>
      <c r="S5">
        <v>1.1995287479390222</v>
      </c>
      <c r="T5" s="5">
        <v>45446</v>
      </c>
      <c r="W5" s="68">
        <v>0.97427427535839484</v>
      </c>
      <c r="X5" s="68">
        <v>1.0257257246416052</v>
      </c>
      <c r="Y5" s="5">
        <v>45446</v>
      </c>
    </row>
    <row r="6" spans="1:25" x14ac:dyDescent="0.25">
      <c r="A6" s="71"/>
      <c r="B6" s="3" t="s">
        <v>6</v>
      </c>
      <c r="C6">
        <v>0.69046922684039658</v>
      </c>
      <c r="D6">
        <v>0.67608112827665001</v>
      </c>
      <c r="E6" s="5" t="s">
        <v>14</v>
      </c>
      <c r="G6" s="3" t="s">
        <v>6</v>
      </c>
      <c r="H6">
        <v>0.80824463759685572</v>
      </c>
      <c r="I6">
        <v>0.85107761486109057</v>
      </c>
      <c r="J6" s="5" t="s">
        <v>14</v>
      </c>
      <c r="L6" s="3" t="s">
        <v>6</v>
      </c>
      <c r="M6" s="8">
        <v>0.96792539906078323</v>
      </c>
      <c r="N6" s="8">
        <v>0.99167393991169051</v>
      </c>
      <c r="O6" s="5" t="s">
        <v>14</v>
      </c>
      <c r="Q6" s="3" t="s">
        <v>6</v>
      </c>
      <c r="R6">
        <v>0.97958590801783929</v>
      </c>
      <c r="S6">
        <v>0.98630986132921106</v>
      </c>
      <c r="T6" s="5" t="s">
        <v>14</v>
      </c>
      <c r="W6" s="68">
        <v>0.98600854607209376</v>
      </c>
      <c r="X6" s="68">
        <v>1.0139914539279062</v>
      </c>
      <c r="Y6" s="5" t="s">
        <v>14</v>
      </c>
    </row>
    <row r="7" spans="1:25" x14ac:dyDescent="0.25">
      <c r="A7" s="3"/>
      <c r="B7" s="6" t="s">
        <v>7</v>
      </c>
      <c r="C7" s="8">
        <f>AVERAGE(C4:D6)</f>
        <v>0.73680106236889598</v>
      </c>
      <c r="G7" s="6" t="s">
        <v>7</v>
      </c>
      <c r="H7" s="8">
        <f>AVERAGE(H4:I6)</f>
        <v>0.90464793088948348</v>
      </c>
      <c r="L7" s="6" t="s">
        <v>7</v>
      </c>
      <c r="M7" s="8">
        <f>AVERAGE(M4:N6)</f>
        <v>1.0125366572765904</v>
      </c>
      <c r="Q7" s="6" t="s">
        <v>7</v>
      </c>
      <c r="R7" s="8">
        <f>AVERAGE(R4:S6)</f>
        <v>0.99506215682742682</v>
      </c>
    </row>
    <row r="8" spans="1:25" x14ac:dyDescent="0.25">
      <c r="A8" s="3"/>
      <c r="B8" s="3" t="s">
        <v>8</v>
      </c>
      <c r="C8" s="10">
        <f>STDEV(C4:D6)</f>
        <v>4.6556591450867338E-2</v>
      </c>
      <c r="G8" s="3" t="s">
        <v>8</v>
      </c>
      <c r="H8" s="10">
        <f>STDEV(H4:I6)</f>
        <v>7.1006981313323891E-2</v>
      </c>
      <c r="L8" s="3" t="s">
        <v>8</v>
      </c>
      <c r="M8" s="10">
        <f>STDEV(M4:N6)</f>
        <v>8.6504111112122875E-2</v>
      </c>
      <c r="Q8" s="3" t="s">
        <v>8</v>
      </c>
      <c r="R8" s="10">
        <f>STDEV(R4:S6)</f>
        <v>0.13485789481455451</v>
      </c>
    </row>
    <row r="9" spans="1:25" x14ac:dyDescent="0.25">
      <c r="A9" s="3"/>
      <c r="B9" s="3"/>
      <c r="C9" s="7"/>
      <c r="G9" s="3"/>
      <c r="H9" s="7"/>
      <c r="L9" s="3"/>
      <c r="M9" s="7"/>
      <c r="Q9" s="3"/>
      <c r="R9" s="7"/>
    </row>
    <row r="10" spans="1:25" x14ac:dyDescent="0.25">
      <c r="A10" s="6" t="s">
        <v>3</v>
      </c>
      <c r="B10" s="9"/>
      <c r="C10" s="9" t="s">
        <v>10</v>
      </c>
      <c r="D10" s="9" t="s">
        <v>11</v>
      </c>
      <c r="E10" s="9"/>
      <c r="F10" s="9"/>
      <c r="G10" s="9"/>
      <c r="H10" s="9" t="s">
        <v>10</v>
      </c>
      <c r="I10" s="9" t="s">
        <v>11</v>
      </c>
      <c r="J10" s="9"/>
      <c r="K10" s="9"/>
      <c r="L10" s="9"/>
      <c r="M10" s="9" t="s">
        <v>10</v>
      </c>
      <c r="N10" s="9" t="s">
        <v>11</v>
      </c>
      <c r="O10" s="9"/>
      <c r="P10" s="9"/>
      <c r="Q10" s="9"/>
      <c r="R10" s="9" t="s">
        <v>10</v>
      </c>
      <c r="S10" s="9" t="s">
        <v>11</v>
      </c>
    </row>
    <row r="11" spans="1:25" x14ac:dyDescent="0.25">
      <c r="A11" s="71" t="s">
        <v>13</v>
      </c>
      <c r="B11" s="3" t="s">
        <v>4</v>
      </c>
      <c r="C11">
        <v>0.67123460947120006</v>
      </c>
      <c r="D11">
        <v>0.67998461460507831</v>
      </c>
      <c r="E11" s="4" t="s">
        <v>25</v>
      </c>
      <c r="G11" s="3" t="s">
        <v>4</v>
      </c>
      <c r="H11">
        <v>0.86227329160378396</v>
      </c>
      <c r="I11">
        <v>0.80394539260524556</v>
      </c>
      <c r="J11" s="4" t="s">
        <v>25</v>
      </c>
      <c r="L11" s="3" t="s">
        <v>4</v>
      </c>
      <c r="M11">
        <v>0.67608185321574121</v>
      </c>
      <c r="N11">
        <v>0.75205770935685323</v>
      </c>
      <c r="O11" s="4" t="s">
        <v>25</v>
      </c>
      <c r="Q11" s="3" t="s">
        <v>4</v>
      </c>
      <c r="R11">
        <v>0.63205720124181053</v>
      </c>
      <c r="S11">
        <v>0.64947274969563173</v>
      </c>
      <c r="T11" s="4" t="s">
        <v>25</v>
      </c>
      <c r="W11" s="66">
        <v>1.042329104937695</v>
      </c>
      <c r="X11" s="66">
        <v>0.95767089506230507</v>
      </c>
      <c r="Y11" t="s">
        <v>25</v>
      </c>
    </row>
    <row r="12" spans="1:25" x14ac:dyDescent="0.25">
      <c r="A12" s="71"/>
      <c r="B12" s="3" t="s">
        <v>5</v>
      </c>
      <c r="C12">
        <v>0.8237457239303646</v>
      </c>
      <c r="D12">
        <v>0.88780228665429084</v>
      </c>
      <c r="E12" s="5">
        <v>45446</v>
      </c>
      <c r="G12" s="3" t="s">
        <v>5</v>
      </c>
      <c r="H12">
        <v>0.85054848766642588</v>
      </c>
      <c r="I12">
        <v>1.0373299369914564</v>
      </c>
      <c r="J12" s="5">
        <v>45446</v>
      </c>
      <c r="L12" s="3" t="s">
        <v>5</v>
      </c>
      <c r="M12">
        <v>1.1790370115014117</v>
      </c>
      <c r="N12">
        <v>1.2181408264810643</v>
      </c>
      <c r="O12" s="5">
        <v>45446</v>
      </c>
      <c r="Q12" s="3" t="s">
        <v>5</v>
      </c>
      <c r="R12">
        <v>1.2546089887292842</v>
      </c>
      <c r="S12">
        <v>1.2481244880009454</v>
      </c>
      <c r="T12" s="5">
        <v>45446</v>
      </c>
      <c r="W12" s="66">
        <v>0.91248810427604488</v>
      </c>
      <c r="X12" s="66">
        <v>1.0875118957239549</v>
      </c>
      <c r="Y12" s="5">
        <v>45446</v>
      </c>
    </row>
    <row r="13" spans="1:25" x14ac:dyDescent="0.25">
      <c r="A13" s="71"/>
      <c r="B13" s="3" t="s">
        <v>6</v>
      </c>
      <c r="C13">
        <v>1.1419832823538774</v>
      </c>
      <c r="D13">
        <v>1.2072913610781026</v>
      </c>
      <c r="E13" s="5" t="s">
        <v>14</v>
      </c>
      <c r="G13" s="3" t="s">
        <v>6</v>
      </c>
      <c r="H13">
        <v>1.423764988925041</v>
      </c>
      <c r="I13">
        <v>1.4522766368178877</v>
      </c>
      <c r="J13" s="5" t="s">
        <v>14</v>
      </c>
      <c r="L13" s="3" t="s">
        <v>6</v>
      </c>
      <c r="M13" s="8">
        <v>1.4544104718579727</v>
      </c>
      <c r="N13" s="8">
        <v>1.5139517068979131</v>
      </c>
      <c r="O13" s="5" t="s">
        <v>14</v>
      </c>
      <c r="Q13" s="3" t="s">
        <v>6</v>
      </c>
      <c r="R13">
        <v>1.3203548290835898</v>
      </c>
      <c r="S13">
        <v>1.2821244080401257</v>
      </c>
      <c r="T13" s="5" t="s">
        <v>14</v>
      </c>
      <c r="W13" s="66">
        <v>0.92514994271851203</v>
      </c>
      <c r="X13" s="66">
        <v>1.0748500572814881</v>
      </c>
      <c r="Y13" s="5" t="s">
        <v>14</v>
      </c>
    </row>
    <row r="14" spans="1:25" x14ac:dyDescent="0.25">
      <c r="A14" s="3"/>
      <c r="B14" s="6" t="s">
        <v>7</v>
      </c>
      <c r="C14" s="8">
        <f>AVERAGE(C11:D13)</f>
        <v>0.90200697968215238</v>
      </c>
      <c r="G14" s="6" t="s">
        <v>7</v>
      </c>
      <c r="H14" s="8">
        <f>AVERAGE(H11:I13)</f>
        <v>1.0716897891016399</v>
      </c>
      <c r="L14" s="6" t="s">
        <v>7</v>
      </c>
      <c r="M14" s="8">
        <f>AVERAGE(M11:N13)</f>
        <v>1.1322799298851594</v>
      </c>
      <c r="Q14" s="6" t="s">
        <v>7</v>
      </c>
      <c r="R14" s="8">
        <f>AVERAGE(R11:S13)</f>
        <v>1.0644571107985648</v>
      </c>
    </row>
    <row r="15" spans="1:25" x14ac:dyDescent="0.25">
      <c r="A15" s="3"/>
      <c r="B15" s="3" t="s">
        <v>8</v>
      </c>
      <c r="C15" s="10">
        <f>STDEV(C11:D13)</f>
        <v>0.22788751359886261</v>
      </c>
      <c r="G15" s="3" t="s">
        <v>8</v>
      </c>
      <c r="H15" s="10">
        <f>STDEV(H11:I13)</f>
        <v>0.29476421115944901</v>
      </c>
      <c r="L15" s="3" t="s">
        <v>8</v>
      </c>
      <c r="M15" s="10">
        <f>STDEV(M11:N13)</f>
        <v>0.3497671716515568</v>
      </c>
      <c r="Q15" s="3" t="s">
        <v>8</v>
      </c>
      <c r="R15" s="10">
        <f>STDEV(R11:S13)</f>
        <v>0.32922206438378515</v>
      </c>
    </row>
    <row r="16" spans="1:25" x14ac:dyDescent="0.25">
      <c r="A16" s="3"/>
      <c r="B16" s="3"/>
      <c r="C16" s="7"/>
      <c r="G16" s="3"/>
      <c r="H16" s="7"/>
      <c r="L16" s="3"/>
      <c r="M16" s="7"/>
      <c r="Q16" s="3"/>
      <c r="R16" s="7"/>
      <c r="T16" s="5"/>
    </row>
    <row r="18" spans="1:25" x14ac:dyDescent="0.25">
      <c r="A18" s="6" t="s">
        <v>15</v>
      </c>
      <c r="B18" s="9"/>
      <c r="C18" s="9" t="s">
        <v>10</v>
      </c>
      <c r="D18" s="9" t="s">
        <v>11</v>
      </c>
      <c r="E18" s="9"/>
      <c r="F18" s="9"/>
      <c r="G18" s="9"/>
      <c r="H18" s="9" t="s">
        <v>10</v>
      </c>
      <c r="I18" s="9" t="s">
        <v>11</v>
      </c>
      <c r="J18" s="9"/>
      <c r="K18" s="9"/>
      <c r="L18" s="9"/>
      <c r="M18" s="9" t="s">
        <v>10</v>
      </c>
      <c r="N18" s="9" t="s">
        <v>11</v>
      </c>
      <c r="O18" s="9"/>
      <c r="P18" s="9"/>
      <c r="Q18" s="9"/>
      <c r="R18" s="9" t="s">
        <v>10</v>
      </c>
      <c r="S18" s="9" t="s">
        <v>11</v>
      </c>
      <c r="T18" s="4"/>
    </row>
    <row r="19" spans="1:25" x14ac:dyDescent="0.25">
      <c r="A19" s="71" t="s">
        <v>12</v>
      </c>
      <c r="B19" s="3" t="s">
        <v>4</v>
      </c>
      <c r="C19">
        <v>0.77082203013447448</v>
      </c>
      <c r="D19">
        <v>0.81486542970567266</v>
      </c>
      <c r="E19" s="4" t="s">
        <v>25</v>
      </c>
      <c r="G19" s="3" t="s">
        <v>4</v>
      </c>
      <c r="H19">
        <v>1.0457026864270955</v>
      </c>
      <c r="I19">
        <v>1.0250960464187535</v>
      </c>
      <c r="J19" s="4" t="s">
        <v>25</v>
      </c>
      <c r="L19" s="3" t="s">
        <v>4</v>
      </c>
      <c r="M19">
        <v>1.2046342165811377</v>
      </c>
      <c r="N19">
        <v>1.0670119689976409</v>
      </c>
      <c r="O19" s="4" t="s">
        <v>25</v>
      </c>
      <c r="Q19" s="3" t="s">
        <v>4</v>
      </c>
      <c r="R19">
        <v>0.84228310894110259</v>
      </c>
      <c r="S19">
        <v>0.88921533617421256</v>
      </c>
      <c r="T19" s="4" t="s">
        <v>25</v>
      </c>
      <c r="W19" s="66">
        <v>1.0336522283364085</v>
      </c>
      <c r="X19" s="66">
        <v>0.96634777166359154</v>
      </c>
      <c r="Y19" t="s">
        <v>25</v>
      </c>
    </row>
    <row r="20" spans="1:25" x14ac:dyDescent="0.25">
      <c r="A20" s="71"/>
      <c r="B20" s="3" t="s">
        <v>5</v>
      </c>
      <c r="C20">
        <v>0.70844373633025459</v>
      </c>
      <c r="D20">
        <v>0.632670496613157</v>
      </c>
      <c r="E20" s="5">
        <v>45446</v>
      </c>
      <c r="G20" s="3" t="s">
        <v>5</v>
      </c>
      <c r="H20">
        <v>0.79945023959755501</v>
      </c>
      <c r="I20">
        <v>0.828591353782409</v>
      </c>
      <c r="J20" s="5">
        <v>45446</v>
      </c>
      <c r="L20" s="3" t="s">
        <v>5</v>
      </c>
      <c r="M20">
        <v>1.0144597914023219</v>
      </c>
      <c r="N20">
        <v>1.0390145402837967</v>
      </c>
      <c r="O20" s="5">
        <v>45446</v>
      </c>
      <c r="Q20" s="3" t="s">
        <v>5</v>
      </c>
      <c r="R20">
        <v>1.0876167562428711</v>
      </c>
      <c r="S20">
        <v>1.0556052455347256</v>
      </c>
      <c r="T20" s="5">
        <v>45446</v>
      </c>
      <c r="W20" s="66">
        <v>1.0177692871823194</v>
      </c>
      <c r="X20" s="66">
        <v>0.9822307128176806</v>
      </c>
      <c r="Y20" s="5">
        <v>45446</v>
      </c>
    </row>
    <row r="21" spans="1:25" x14ac:dyDescent="0.25">
      <c r="A21" s="71"/>
      <c r="B21" s="3" t="s">
        <v>6</v>
      </c>
      <c r="C21" s="3">
        <v>0.62758144071046684</v>
      </c>
      <c r="D21">
        <v>0.62717956116022133</v>
      </c>
      <c r="E21" s="5" t="s">
        <v>14</v>
      </c>
      <c r="G21" s="3" t="s">
        <v>6</v>
      </c>
      <c r="H21">
        <v>0.77874022849525082</v>
      </c>
      <c r="I21">
        <v>0.76679447438441894</v>
      </c>
      <c r="J21" s="5" t="s">
        <v>14</v>
      </c>
      <c r="L21" s="3" t="s">
        <v>6</v>
      </c>
      <c r="M21">
        <v>0.99447312544064592</v>
      </c>
      <c r="N21">
        <v>0.92124085315343729</v>
      </c>
      <c r="O21" s="5" t="s">
        <v>14</v>
      </c>
      <c r="Q21" s="3" t="s">
        <v>6</v>
      </c>
      <c r="R21">
        <v>0.90317734080139855</v>
      </c>
      <c r="S21">
        <v>0.94532906769805569</v>
      </c>
      <c r="T21" s="5" t="s">
        <v>14</v>
      </c>
      <c r="W21" s="66">
        <v>0.91487054106515908</v>
      </c>
      <c r="X21" s="66">
        <v>1.085129458934841</v>
      </c>
      <c r="Y21" s="5" t="s">
        <v>14</v>
      </c>
    </row>
    <row r="22" spans="1:25" x14ac:dyDescent="0.25">
      <c r="A22" s="3"/>
      <c r="B22" s="6" t="s">
        <v>7</v>
      </c>
      <c r="C22" s="8">
        <f>AVERAGE(C19:D21)</f>
        <v>0.69692711577570776</v>
      </c>
      <c r="G22" s="6" t="s">
        <v>7</v>
      </c>
      <c r="H22" s="8">
        <f>AVERAGE(H19:I21)</f>
        <v>0.87406250485091375</v>
      </c>
      <c r="L22" s="6" t="s">
        <v>7</v>
      </c>
      <c r="M22" s="8">
        <f>AVERAGE(M19:N21)</f>
        <v>1.0401390826431633</v>
      </c>
      <c r="Q22" s="6" t="s">
        <v>7</v>
      </c>
      <c r="R22" s="8">
        <f>AVERAGE(R19:S21)</f>
        <v>0.95387114256539451</v>
      </c>
    </row>
    <row r="23" spans="1:25" x14ac:dyDescent="0.25">
      <c r="A23" s="3"/>
      <c r="B23" s="3" t="s">
        <v>8</v>
      </c>
      <c r="C23" s="10">
        <f>STDEV(C19:D21)</f>
        <v>8.1614942187108977E-2</v>
      </c>
      <c r="G23" s="3" t="s">
        <v>8</v>
      </c>
      <c r="H23" s="10">
        <f>STDEV(H19:I21)</f>
        <v>0.12688488093192929</v>
      </c>
      <c r="L23" s="3" t="s">
        <v>8</v>
      </c>
      <c r="M23" s="10">
        <f>STDEV(M19:N21)</f>
        <v>9.451313170925664E-2</v>
      </c>
      <c r="Q23" s="3" t="s">
        <v>8</v>
      </c>
      <c r="R23" s="10">
        <f>STDEV(R19:S21)</f>
        <v>9.7481083306963645E-2</v>
      </c>
    </row>
    <row r="24" spans="1:25" x14ac:dyDescent="0.25">
      <c r="A24" s="3"/>
      <c r="B24" s="3"/>
      <c r="E24" s="5"/>
      <c r="G24" s="3"/>
      <c r="J24" s="5"/>
      <c r="L24" s="3"/>
      <c r="M24" s="8"/>
      <c r="N24" s="8"/>
      <c r="O24" s="5"/>
      <c r="Q24" s="3"/>
    </row>
    <row r="25" spans="1:25" x14ac:dyDescent="0.25">
      <c r="A25" s="6" t="s">
        <v>15</v>
      </c>
      <c r="B25" s="9"/>
      <c r="C25" s="9" t="s">
        <v>10</v>
      </c>
      <c r="D25" s="9" t="s">
        <v>11</v>
      </c>
      <c r="E25" s="9"/>
      <c r="F25" s="9"/>
      <c r="G25" s="9"/>
      <c r="H25" s="9" t="s">
        <v>10</v>
      </c>
      <c r="I25" s="9" t="s">
        <v>11</v>
      </c>
      <c r="J25" s="9"/>
      <c r="K25" s="9"/>
      <c r="L25" s="9"/>
      <c r="M25" s="9" t="s">
        <v>10</v>
      </c>
      <c r="N25" s="9" t="s">
        <v>11</v>
      </c>
      <c r="O25" s="9"/>
      <c r="P25" s="9"/>
      <c r="Q25" s="9"/>
      <c r="R25" s="9" t="s">
        <v>10</v>
      </c>
      <c r="S25" s="9" t="s">
        <v>11</v>
      </c>
    </row>
    <row r="26" spans="1:25" x14ac:dyDescent="0.25">
      <c r="A26" s="71" t="s">
        <v>13</v>
      </c>
      <c r="B26" s="3" t="s">
        <v>4</v>
      </c>
      <c r="C26">
        <v>0.88313506218217053</v>
      </c>
      <c r="D26">
        <v>0.94362706508730021</v>
      </c>
      <c r="E26" s="4" t="s">
        <v>25</v>
      </c>
      <c r="G26" s="3" t="s">
        <v>4</v>
      </c>
      <c r="H26">
        <v>1.0300180187782111</v>
      </c>
      <c r="I26">
        <v>1.1690634774438373</v>
      </c>
      <c r="J26" s="4" t="s">
        <v>25</v>
      </c>
      <c r="L26" s="3" t="s">
        <v>4</v>
      </c>
      <c r="M26">
        <v>0.99542850146821926</v>
      </c>
      <c r="N26">
        <v>1.1669359535649935</v>
      </c>
      <c r="O26" s="4" t="s">
        <v>25</v>
      </c>
      <c r="Q26" s="3" t="s">
        <v>4</v>
      </c>
      <c r="R26">
        <v>1.0935471560453449</v>
      </c>
      <c r="S26">
        <v>1.059673439043237</v>
      </c>
      <c r="T26" s="4" t="s">
        <v>25</v>
      </c>
      <c r="W26" s="66">
        <v>1.0134768085896038</v>
      </c>
      <c r="X26" s="66">
        <v>0.98652319141039613</v>
      </c>
      <c r="Y26" t="s">
        <v>25</v>
      </c>
    </row>
    <row r="27" spans="1:25" x14ac:dyDescent="0.25">
      <c r="A27" s="71"/>
      <c r="B27" s="3" t="s">
        <v>5</v>
      </c>
      <c r="C27">
        <v>0.8325040951671</v>
      </c>
      <c r="D27">
        <v>0.83672041063454972</v>
      </c>
      <c r="E27" s="5">
        <v>45446</v>
      </c>
      <c r="G27" s="3" t="s">
        <v>5</v>
      </c>
      <c r="H27">
        <v>1.0756033932905464</v>
      </c>
      <c r="I27">
        <v>1.0190135450688607</v>
      </c>
      <c r="J27" s="5">
        <v>45446</v>
      </c>
      <c r="L27" s="3" t="s">
        <v>5</v>
      </c>
      <c r="M27">
        <v>1.1311161434886663</v>
      </c>
      <c r="N27">
        <v>1.2746190451922585</v>
      </c>
      <c r="O27" s="5">
        <v>45446</v>
      </c>
      <c r="Q27" s="3" t="s">
        <v>5</v>
      </c>
      <c r="R27">
        <v>1.2604855947949971</v>
      </c>
      <c r="S27">
        <v>1.1597012142692333</v>
      </c>
      <c r="T27" s="5">
        <v>45446</v>
      </c>
      <c r="W27" s="66">
        <v>0.95249665946337125</v>
      </c>
      <c r="X27" s="66">
        <v>1.0475033405366285</v>
      </c>
      <c r="Y27" s="5">
        <v>45446</v>
      </c>
    </row>
    <row r="28" spans="1:25" x14ac:dyDescent="0.25">
      <c r="A28" s="71"/>
      <c r="B28" s="3" t="s">
        <v>6</v>
      </c>
      <c r="C28" s="3">
        <v>0.83647792418987799</v>
      </c>
      <c r="D28">
        <v>0.84851349319036096</v>
      </c>
      <c r="E28" s="5" t="s">
        <v>14</v>
      </c>
      <c r="G28" s="3" t="s">
        <v>6</v>
      </c>
      <c r="H28" s="3">
        <v>1.1139225645217719</v>
      </c>
      <c r="I28">
        <v>1.0651017393011915</v>
      </c>
      <c r="J28" s="5" t="s">
        <v>14</v>
      </c>
      <c r="L28" s="3" t="s">
        <v>6</v>
      </c>
      <c r="M28" s="3">
        <v>1.1528633780106803</v>
      </c>
      <c r="N28">
        <v>1.1069151499973426</v>
      </c>
      <c r="O28" s="5" t="s">
        <v>14</v>
      </c>
      <c r="Q28" s="3" t="s">
        <v>6</v>
      </c>
      <c r="R28" s="3">
        <v>1.0795298363567345</v>
      </c>
      <c r="S28">
        <v>1.0882721245781122</v>
      </c>
      <c r="T28" s="5" t="s">
        <v>14</v>
      </c>
      <c r="W28" s="66">
        <v>0.96991181945608407</v>
      </c>
      <c r="X28" s="66">
        <v>1.0300881805439159</v>
      </c>
      <c r="Y28" s="5" t="s">
        <v>14</v>
      </c>
    </row>
    <row r="29" spans="1:25" x14ac:dyDescent="0.25">
      <c r="A29" s="3"/>
      <c r="B29" s="6" t="s">
        <v>7</v>
      </c>
      <c r="C29" s="8">
        <f>AVERAGE(C26:D28)</f>
        <v>0.86349634174189316</v>
      </c>
      <c r="G29" s="6" t="s">
        <v>7</v>
      </c>
      <c r="H29" s="8">
        <f>AVERAGE(H26:I28)</f>
        <v>1.0787871230674031</v>
      </c>
      <c r="L29" s="6" t="s">
        <v>7</v>
      </c>
      <c r="M29" s="8">
        <f>AVERAGE(M26:N28)</f>
        <v>1.1379796952870267</v>
      </c>
      <c r="Q29" s="6" t="s">
        <v>7</v>
      </c>
      <c r="R29" s="8">
        <f>AVERAGE(R26:S28)</f>
        <v>1.1235348941812766</v>
      </c>
    </row>
    <row r="30" spans="1:25" x14ac:dyDescent="0.25">
      <c r="A30" s="3"/>
      <c r="B30" s="3" t="s">
        <v>8</v>
      </c>
      <c r="C30" s="10">
        <f>STDEV(C26:D28)</f>
        <v>4.3447813838076374E-2</v>
      </c>
      <c r="G30" s="3" t="s">
        <v>8</v>
      </c>
      <c r="H30" s="10">
        <f>STDEV(H26:I28)</f>
        <v>5.5736974136979062E-2</v>
      </c>
      <c r="L30" s="3" t="s">
        <v>8</v>
      </c>
      <c r="M30" s="10">
        <f>STDEV(M26:N28)</f>
        <v>9.0623681258172148E-2</v>
      </c>
      <c r="Q30" s="3" t="s">
        <v>8</v>
      </c>
      <c r="R30" s="10">
        <f>STDEV(R26:S28)</f>
        <v>7.5127831104561602E-2</v>
      </c>
    </row>
    <row r="32" spans="1:25" x14ac:dyDescent="0.25">
      <c r="A32" s="6" t="s">
        <v>9</v>
      </c>
      <c r="B32" s="9"/>
      <c r="C32" s="9" t="s">
        <v>10</v>
      </c>
      <c r="D32" s="9" t="s">
        <v>11</v>
      </c>
      <c r="E32" s="9"/>
      <c r="F32" s="9"/>
      <c r="G32" s="9"/>
      <c r="H32" s="9" t="s">
        <v>10</v>
      </c>
      <c r="I32" s="9" t="s">
        <v>11</v>
      </c>
      <c r="J32" s="9"/>
      <c r="K32" s="9"/>
      <c r="L32" s="9"/>
      <c r="M32" s="9" t="s">
        <v>10</v>
      </c>
      <c r="N32" s="9" t="s">
        <v>11</v>
      </c>
      <c r="O32" s="9"/>
      <c r="P32" s="9"/>
      <c r="Q32" s="9"/>
      <c r="R32" s="9" t="s">
        <v>10</v>
      </c>
      <c r="S32" s="9" t="s">
        <v>11</v>
      </c>
    </row>
    <row r="33" spans="1:25" x14ac:dyDescent="0.25">
      <c r="A33" s="71" t="s">
        <v>12</v>
      </c>
      <c r="B33" s="3" t="s">
        <v>4</v>
      </c>
      <c r="C33">
        <v>0.86308052209560371</v>
      </c>
      <c r="D33">
        <v>0.7944811455358638</v>
      </c>
      <c r="E33" s="4" t="s">
        <v>25</v>
      </c>
      <c r="G33" s="3" t="s">
        <v>4</v>
      </c>
      <c r="H33">
        <v>1.0269568946761678</v>
      </c>
      <c r="I33">
        <v>1.0350821345902113</v>
      </c>
      <c r="J33" s="4" t="s">
        <v>25</v>
      </c>
      <c r="L33" s="3" t="s">
        <v>4</v>
      </c>
      <c r="M33">
        <v>1.0924091204384769</v>
      </c>
      <c r="N33">
        <v>1.0890610010099564</v>
      </c>
      <c r="O33" s="4" t="s">
        <v>25</v>
      </c>
      <c r="Q33" s="3" t="s">
        <v>4</v>
      </c>
      <c r="R33">
        <v>0.91601778665995293</v>
      </c>
      <c r="S33">
        <v>1.0640371222253009</v>
      </c>
      <c r="T33" s="4" t="s">
        <v>25</v>
      </c>
      <c r="W33" s="66">
        <v>1.0483413308573692</v>
      </c>
      <c r="X33" s="66">
        <v>0.95165866914263064</v>
      </c>
      <c r="Y33" t="s">
        <v>25</v>
      </c>
    </row>
    <row r="34" spans="1:25" x14ac:dyDescent="0.25">
      <c r="A34" s="71"/>
      <c r="B34" s="3" t="s">
        <v>5</v>
      </c>
      <c r="C34">
        <v>0.88490208075773524</v>
      </c>
      <c r="D34">
        <v>0.81696415429628211</v>
      </c>
      <c r="E34" s="5">
        <v>45446</v>
      </c>
      <c r="G34" s="3" t="s">
        <v>5</v>
      </c>
      <c r="H34">
        <v>1.118568426888096</v>
      </c>
      <c r="I34">
        <v>1.0965496315665857</v>
      </c>
      <c r="J34" s="5">
        <v>45446</v>
      </c>
      <c r="L34" s="3" t="s">
        <v>5</v>
      </c>
      <c r="M34">
        <v>1.1003077040798428</v>
      </c>
      <c r="N34">
        <v>1.3266109469083225</v>
      </c>
      <c r="O34" s="5">
        <v>45446</v>
      </c>
      <c r="Q34" s="3" t="s">
        <v>5</v>
      </c>
      <c r="R34">
        <v>1.1963312724773361</v>
      </c>
      <c r="S34">
        <v>1.3304108835040658</v>
      </c>
      <c r="T34" s="5">
        <v>45446</v>
      </c>
      <c r="W34" s="66">
        <v>1.0282035732611841</v>
      </c>
      <c r="X34" s="66">
        <v>0.97179642673881605</v>
      </c>
      <c r="Y34" s="5">
        <v>45446</v>
      </c>
    </row>
    <row r="35" spans="1:25" x14ac:dyDescent="0.25">
      <c r="A35" s="71"/>
      <c r="B35" s="3" t="s">
        <v>6</v>
      </c>
      <c r="C35" s="3">
        <v>0.81278015252347979</v>
      </c>
      <c r="D35">
        <v>0.83997354052612416</v>
      </c>
      <c r="E35" s="5" t="s">
        <v>14</v>
      </c>
      <c r="G35" s="3" t="s">
        <v>6</v>
      </c>
      <c r="H35" s="3">
        <v>0.80128990801481315</v>
      </c>
      <c r="I35">
        <v>0.88317883576369183</v>
      </c>
      <c r="J35" s="5" t="s">
        <v>14</v>
      </c>
      <c r="L35" s="3" t="s">
        <v>6</v>
      </c>
      <c r="M35" s="3">
        <v>0.90442147426944552</v>
      </c>
      <c r="N35">
        <v>0.97230000548335016</v>
      </c>
      <c r="O35" s="5" t="s">
        <v>14</v>
      </c>
      <c r="Q35" s="3" t="s">
        <v>6</v>
      </c>
      <c r="R35" s="3">
        <v>0.9588150844286335</v>
      </c>
      <c r="S35">
        <v>0.93650860520284762</v>
      </c>
      <c r="T35" s="5" t="s">
        <v>14</v>
      </c>
      <c r="W35" s="66">
        <v>0.98040359834670554</v>
      </c>
      <c r="X35" s="66">
        <v>1.0195964016532946</v>
      </c>
      <c r="Y35" s="5" t="s">
        <v>14</v>
      </c>
    </row>
    <row r="36" spans="1:25" x14ac:dyDescent="0.25">
      <c r="A36" s="3"/>
      <c r="B36" s="6" t="s">
        <v>7</v>
      </c>
      <c r="C36" s="8">
        <f>AVERAGE(C33:D35)</f>
        <v>0.83536359928918147</v>
      </c>
      <c r="G36" s="6" t="s">
        <v>7</v>
      </c>
      <c r="H36" s="8">
        <f>AVERAGE(H33:I35)</f>
        <v>0.99360430524992782</v>
      </c>
      <c r="L36" s="6" t="s">
        <v>7</v>
      </c>
      <c r="M36" s="8">
        <f>AVERAGE(M33:N35)</f>
        <v>1.0808517086982323</v>
      </c>
      <c r="Q36" s="6" t="s">
        <v>7</v>
      </c>
      <c r="R36" s="8">
        <f>AVERAGE(R33:S35)</f>
        <v>1.0670201257496894</v>
      </c>
      <c r="W36" s="66"/>
      <c r="X36" s="66"/>
    </row>
    <row r="37" spans="1:25" x14ac:dyDescent="0.25">
      <c r="A37" s="3"/>
      <c r="B37" s="3" t="s">
        <v>8</v>
      </c>
      <c r="C37" s="10">
        <f>STDEV(C33:D35)</f>
        <v>3.3951339246143589E-2</v>
      </c>
      <c r="G37" s="3" t="s">
        <v>8</v>
      </c>
      <c r="H37" s="10">
        <f>STDEV(H33:I35)</f>
        <v>0.12508012564002133</v>
      </c>
      <c r="L37" s="3" t="s">
        <v>8</v>
      </c>
      <c r="M37" s="10">
        <f>STDEV(M33:N35)</f>
        <v>0.14414451433178785</v>
      </c>
      <c r="Q37" s="3" t="s">
        <v>8</v>
      </c>
      <c r="R37" s="10">
        <f>STDEV(R33:S35)</f>
        <v>0.16592061753849763</v>
      </c>
      <c r="W37" s="66"/>
      <c r="X37" s="66"/>
    </row>
    <row r="38" spans="1:25" x14ac:dyDescent="0.25">
      <c r="A38" s="3"/>
      <c r="B38" s="3"/>
      <c r="C38" s="3"/>
      <c r="E38" s="5"/>
      <c r="G38" s="3"/>
      <c r="H38" s="3"/>
      <c r="J38" s="5"/>
      <c r="L38" s="3"/>
      <c r="M38" s="3"/>
      <c r="O38" s="5"/>
      <c r="Q38" s="3"/>
      <c r="R38" s="3"/>
      <c r="W38" s="66"/>
      <c r="X38" s="66"/>
    </row>
    <row r="39" spans="1:25" x14ac:dyDescent="0.25">
      <c r="A39" s="6" t="s">
        <v>9</v>
      </c>
      <c r="B39" s="9"/>
      <c r="C39" s="9" t="s">
        <v>10</v>
      </c>
      <c r="D39" s="9" t="s">
        <v>11</v>
      </c>
      <c r="E39" s="9"/>
      <c r="F39" s="9"/>
      <c r="G39" s="9"/>
      <c r="H39" s="9" t="s">
        <v>10</v>
      </c>
      <c r="I39" s="9" t="s">
        <v>11</v>
      </c>
      <c r="J39" s="9"/>
      <c r="K39" s="9"/>
      <c r="L39" s="9"/>
      <c r="M39" s="9" t="s">
        <v>10</v>
      </c>
      <c r="N39" s="9" t="s">
        <v>11</v>
      </c>
      <c r="O39" s="9"/>
      <c r="P39" s="9"/>
      <c r="Q39" s="9"/>
      <c r="R39" s="9" t="s">
        <v>10</v>
      </c>
      <c r="S39" s="9" t="s">
        <v>11</v>
      </c>
      <c r="W39" s="66"/>
      <c r="X39" s="66"/>
    </row>
    <row r="40" spans="1:25" x14ac:dyDescent="0.25">
      <c r="A40" s="71" t="s">
        <v>13</v>
      </c>
      <c r="B40" s="3" t="s">
        <v>4</v>
      </c>
      <c r="C40">
        <v>1.1575977170138034</v>
      </c>
      <c r="D40">
        <v>1.0933442524112571</v>
      </c>
      <c r="E40" s="4" t="s">
        <v>25</v>
      </c>
      <c r="G40" s="3" t="s">
        <v>4</v>
      </c>
      <c r="H40">
        <v>1.1559793525349673</v>
      </c>
      <c r="I40">
        <v>1.0339034384207828</v>
      </c>
      <c r="J40" s="4" t="s">
        <v>25</v>
      </c>
      <c r="L40" s="3" t="s">
        <v>4</v>
      </c>
      <c r="M40">
        <v>1.0522797913117041</v>
      </c>
      <c r="N40">
        <v>1.0805324854830287</v>
      </c>
      <c r="O40" s="4" t="s">
        <v>25</v>
      </c>
      <c r="Q40" s="3" t="s">
        <v>4</v>
      </c>
      <c r="R40">
        <v>0.96756574627127323</v>
      </c>
      <c r="S40">
        <v>0.91841425848170255</v>
      </c>
      <c r="T40" s="4" t="s">
        <v>25</v>
      </c>
      <c r="W40" s="66">
        <v>1.059384858044164</v>
      </c>
      <c r="X40" s="66">
        <v>0.94061514195583595</v>
      </c>
      <c r="Y40" t="s">
        <v>25</v>
      </c>
    </row>
    <row r="41" spans="1:25" x14ac:dyDescent="0.25">
      <c r="A41" s="71"/>
      <c r="B41" s="3" t="s">
        <v>5</v>
      </c>
      <c r="C41">
        <v>1.046707643746333</v>
      </c>
      <c r="D41">
        <v>0.98546501019289834</v>
      </c>
      <c r="E41" s="5">
        <v>45446</v>
      </c>
      <c r="G41" s="3" t="s">
        <v>5</v>
      </c>
      <c r="H41">
        <v>1.0214641161784981</v>
      </c>
      <c r="I41">
        <v>0.9463638090636215</v>
      </c>
      <c r="J41" s="5">
        <v>45446</v>
      </c>
      <c r="L41" s="3" t="s">
        <v>5</v>
      </c>
      <c r="M41">
        <v>1.0958387856270855</v>
      </c>
      <c r="N41">
        <v>1.1884574580490777</v>
      </c>
      <c r="O41" s="5">
        <v>45446</v>
      </c>
      <c r="Q41" s="3" t="s">
        <v>5</v>
      </c>
      <c r="R41">
        <v>0.91564102644387946</v>
      </c>
      <c r="S41">
        <v>1.1846989836440653</v>
      </c>
      <c r="T41" s="5">
        <v>45446</v>
      </c>
      <c r="W41" s="66">
        <v>0.93461172753686872</v>
      </c>
      <c r="X41" s="66">
        <v>1.0653882724631314</v>
      </c>
      <c r="Y41" s="5">
        <v>45446</v>
      </c>
    </row>
    <row r="42" spans="1:25" x14ac:dyDescent="0.25">
      <c r="A42" s="71"/>
      <c r="B42" s="3" t="s">
        <v>6</v>
      </c>
      <c r="C42" s="3">
        <v>1.2381173750247143</v>
      </c>
      <c r="D42">
        <v>1.2083038281747105</v>
      </c>
      <c r="E42" s="5" t="s">
        <v>14</v>
      </c>
      <c r="G42" s="3" t="s">
        <v>6</v>
      </c>
      <c r="H42" s="3">
        <v>1.3849273916375415</v>
      </c>
      <c r="I42">
        <v>1.3369622586073147</v>
      </c>
      <c r="J42" s="5" t="s">
        <v>14</v>
      </c>
      <c r="L42" s="3" t="s">
        <v>6</v>
      </c>
      <c r="M42" s="3">
        <v>1.1566075867791434</v>
      </c>
      <c r="N42">
        <v>1.2318427167487396</v>
      </c>
      <c r="O42" s="5" t="s">
        <v>14</v>
      </c>
      <c r="Q42" s="3" t="s">
        <v>6</v>
      </c>
      <c r="R42" s="3">
        <v>1.2170072511601568</v>
      </c>
      <c r="S42">
        <v>1.3701309665910688</v>
      </c>
      <c r="T42" s="5" t="s">
        <v>14</v>
      </c>
      <c r="W42" s="66">
        <v>0.96767899942503122</v>
      </c>
      <c r="X42" s="66">
        <v>1.032321000574969</v>
      </c>
      <c r="Y42" s="5" t="s">
        <v>14</v>
      </c>
    </row>
    <row r="43" spans="1:25" x14ac:dyDescent="0.25">
      <c r="A43" s="3"/>
      <c r="B43" s="6" t="s">
        <v>7</v>
      </c>
      <c r="C43" s="8">
        <f>AVERAGE(C40:D42)</f>
        <v>1.1215893044272862</v>
      </c>
      <c r="G43" s="6" t="s">
        <v>7</v>
      </c>
      <c r="H43" s="8">
        <f>AVERAGE(H40:I42)</f>
        <v>1.1466000610737876</v>
      </c>
      <c r="L43" s="6" t="s">
        <v>7</v>
      </c>
      <c r="M43" s="8">
        <f>AVERAGE(M40:N42)</f>
        <v>1.1342598039997964</v>
      </c>
      <c r="Q43" s="6" t="s">
        <v>7</v>
      </c>
      <c r="R43" s="8">
        <f>AVERAGE(R40:S42)</f>
        <v>1.0955763720986911</v>
      </c>
      <c r="W43" s="66"/>
      <c r="X43" s="66"/>
    </row>
    <row r="44" spans="1:25" x14ac:dyDescent="0.25">
      <c r="A44" s="3"/>
      <c r="B44" s="3" t="s">
        <v>8</v>
      </c>
      <c r="C44" s="10">
        <f>STDEV(C40:D42)</f>
        <v>9.729303694863109E-2</v>
      </c>
      <c r="G44" s="3" t="s">
        <v>8</v>
      </c>
      <c r="H44" s="10">
        <f>STDEV(H40:I42)</f>
        <v>0.17976637279149929</v>
      </c>
      <c r="L44" s="3" t="s">
        <v>8</v>
      </c>
      <c r="M44" s="10">
        <f>STDEV(M40:N42)</f>
        <v>6.9343717593311191E-2</v>
      </c>
      <c r="Q44" s="3" t="s">
        <v>8</v>
      </c>
      <c r="R44" s="10">
        <f>STDEV(R40:S42)</f>
        <v>0.1887953320805707</v>
      </c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4"/>
  <sheetViews>
    <sheetView topLeftCell="A10" workbookViewId="0">
      <selection activeCell="V40" sqref="V40:W42"/>
    </sheetView>
  </sheetViews>
  <sheetFormatPr defaultRowHeight="15" x14ac:dyDescent="0.25"/>
  <cols>
    <col min="3" max="3" width="12" bestFit="1" customWidth="1"/>
    <col min="5" max="5" width="9.7109375" bestFit="1" customWidth="1"/>
    <col min="22" max="23" width="10.5703125" bestFit="1" customWidth="1"/>
    <col min="24" max="24" width="9.7109375" bestFit="1" customWidth="1"/>
  </cols>
  <sheetData>
    <row r="1" spans="1:24" s="2" customFormat="1" ht="20.25" thickBot="1" x14ac:dyDescent="0.35">
      <c r="A1" s="33" t="s">
        <v>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4" ht="15.75" thickTop="1" x14ac:dyDescent="0.25">
      <c r="A2" s="20"/>
      <c r="B2" s="20"/>
      <c r="C2" s="21">
        <v>100</v>
      </c>
      <c r="D2" s="21" t="s">
        <v>1</v>
      </c>
      <c r="E2" s="21" t="s">
        <v>2</v>
      </c>
      <c r="F2" s="21"/>
      <c r="G2" s="21"/>
      <c r="H2" s="21">
        <v>10</v>
      </c>
      <c r="I2" s="21" t="s">
        <v>1</v>
      </c>
      <c r="J2" s="21" t="s">
        <v>2</v>
      </c>
      <c r="K2" s="21"/>
      <c r="L2" s="21"/>
      <c r="M2" s="21">
        <v>1</v>
      </c>
      <c r="N2" s="21" t="s">
        <v>1</v>
      </c>
      <c r="O2" s="21" t="s">
        <v>2</v>
      </c>
      <c r="P2" s="21"/>
      <c r="Q2" s="21"/>
      <c r="R2" s="21">
        <v>0.1</v>
      </c>
      <c r="S2" s="20" t="s">
        <v>1</v>
      </c>
      <c r="T2" t="s">
        <v>2</v>
      </c>
      <c r="V2" t="s">
        <v>34</v>
      </c>
      <c r="X2" t="s">
        <v>2</v>
      </c>
    </row>
    <row r="3" spans="1:24" ht="15.75" thickBot="1" x14ac:dyDescent="0.3">
      <c r="A3" s="22" t="s">
        <v>3</v>
      </c>
      <c r="B3" s="24"/>
      <c r="C3" s="24" t="s">
        <v>10</v>
      </c>
      <c r="D3" s="24" t="s">
        <v>11</v>
      </c>
      <c r="E3" s="24"/>
      <c r="F3" s="24"/>
      <c r="G3" s="24"/>
      <c r="H3" s="24" t="s">
        <v>10</v>
      </c>
      <c r="I3" s="24" t="s">
        <v>11</v>
      </c>
      <c r="J3" s="24"/>
      <c r="K3" s="24"/>
      <c r="L3" s="24"/>
      <c r="M3" s="24" t="s">
        <v>10</v>
      </c>
      <c r="N3" s="24" t="s">
        <v>11</v>
      </c>
      <c r="O3" s="24"/>
      <c r="P3" s="24"/>
      <c r="Q3" s="24"/>
      <c r="R3" s="24" t="s">
        <v>10</v>
      </c>
      <c r="S3" s="24" t="s">
        <v>11</v>
      </c>
      <c r="V3" s="9" t="s">
        <v>10</v>
      </c>
      <c r="W3" s="9" t="s">
        <v>11</v>
      </c>
    </row>
    <row r="4" spans="1:24" ht="15.75" thickBot="1" x14ac:dyDescent="0.3">
      <c r="A4" s="72" t="s">
        <v>12</v>
      </c>
      <c r="B4" s="21" t="s">
        <v>4</v>
      </c>
      <c r="C4" s="20">
        <v>103.36703360061277</v>
      </c>
      <c r="D4" s="20">
        <v>108.02429909907636</v>
      </c>
      <c r="E4" s="32" t="s">
        <v>28</v>
      </c>
      <c r="F4" s="20"/>
      <c r="G4" s="21" t="s">
        <v>4</v>
      </c>
      <c r="H4" s="20"/>
      <c r="I4" s="20"/>
      <c r="J4" s="25"/>
      <c r="K4" s="20"/>
      <c r="L4" s="21" t="s">
        <v>4</v>
      </c>
      <c r="M4" s="20"/>
      <c r="N4" s="20"/>
      <c r="O4" s="25"/>
      <c r="P4" s="20"/>
      <c r="Q4" s="21" t="s">
        <v>4</v>
      </c>
      <c r="R4" s="20"/>
      <c r="S4" s="20"/>
      <c r="T4" s="4"/>
      <c r="V4" s="60">
        <v>93.40049027840945</v>
      </c>
      <c r="W4" s="61">
        <v>106.59950972159058</v>
      </c>
      <c r="X4" s="32" t="s">
        <v>28</v>
      </c>
    </row>
    <row r="5" spans="1:24" x14ac:dyDescent="0.25">
      <c r="A5" s="72"/>
      <c r="B5" s="21" t="s">
        <v>5</v>
      </c>
      <c r="C5" s="20">
        <v>91.300391526994545</v>
      </c>
      <c r="D5" s="20">
        <v>93.803270836854935</v>
      </c>
      <c r="E5" s="19">
        <v>45597</v>
      </c>
      <c r="F5" s="20"/>
      <c r="G5" s="21" t="s">
        <v>5</v>
      </c>
      <c r="H5" s="20"/>
      <c r="I5" s="20"/>
      <c r="J5" s="20"/>
      <c r="K5" s="20"/>
      <c r="L5" s="21" t="s">
        <v>5</v>
      </c>
      <c r="M5" s="20"/>
      <c r="N5" s="20"/>
      <c r="O5" s="20"/>
      <c r="P5" s="20"/>
      <c r="Q5" s="21" t="s">
        <v>5</v>
      </c>
      <c r="R5" s="20"/>
      <c r="S5" s="20"/>
      <c r="V5" s="60">
        <v>98.026845607640084</v>
      </c>
      <c r="W5" s="61">
        <v>101.9731543923599</v>
      </c>
      <c r="X5" s="19">
        <v>45597</v>
      </c>
    </row>
    <row r="6" spans="1:24" x14ac:dyDescent="0.25">
      <c r="A6" s="72"/>
      <c r="B6" s="21" t="s">
        <v>6</v>
      </c>
      <c r="C6" s="20">
        <f>1.1721450898614*100</f>
        <v>117.21450898614</v>
      </c>
      <c r="D6" s="20">
        <f>1.27889830944217*100</f>
        <v>127.889830944217</v>
      </c>
      <c r="E6" s="29" t="s">
        <v>32</v>
      </c>
      <c r="F6" s="20"/>
      <c r="G6" s="21" t="s">
        <v>6</v>
      </c>
      <c r="H6" s="20"/>
      <c r="I6" s="20"/>
      <c r="J6" s="20"/>
      <c r="K6" s="20"/>
      <c r="L6" s="21" t="s">
        <v>6</v>
      </c>
      <c r="M6" s="18"/>
      <c r="N6" s="18"/>
      <c r="O6" s="20"/>
      <c r="P6" s="20"/>
      <c r="Q6" s="21" t="s">
        <v>6</v>
      </c>
      <c r="R6" s="20"/>
      <c r="S6" s="20"/>
      <c r="T6" s="5"/>
      <c r="V6" s="68">
        <v>0.97632042576223821</v>
      </c>
      <c r="W6" s="68">
        <v>1.0236795742377618</v>
      </c>
      <c r="X6" t="s">
        <v>32</v>
      </c>
    </row>
    <row r="7" spans="1:24" x14ac:dyDescent="0.25">
      <c r="A7" s="21"/>
      <c r="B7" s="22" t="s">
        <v>7</v>
      </c>
      <c r="C7" s="18">
        <f>AVERAGE(C4:D6)</f>
        <v>106.9332224989826</v>
      </c>
      <c r="D7" s="20"/>
      <c r="E7" s="20"/>
      <c r="F7" s="20"/>
      <c r="G7" s="22" t="s">
        <v>7</v>
      </c>
      <c r="H7" s="18" t="e">
        <f>AVERAGE(H4:I6)</f>
        <v>#DIV/0!</v>
      </c>
      <c r="I7" s="20"/>
      <c r="J7" s="20"/>
      <c r="K7" s="20"/>
      <c r="L7" s="22" t="s">
        <v>7</v>
      </c>
      <c r="M7" s="18" t="e">
        <f>AVERAGE(M4:N6)</f>
        <v>#DIV/0!</v>
      </c>
      <c r="N7" s="20"/>
      <c r="O7" s="20"/>
      <c r="P7" s="20"/>
      <c r="Q7" s="22" t="s">
        <v>7</v>
      </c>
      <c r="R7" s="18" t="e">
        <f>AVERAGE(R4:S6)</f>
        <v>#DIV/0!</v>
      </c>
      <c r="S7" s="20"/>
    </row>
    <row r="8" spans="1:24" x14ac:dyDescent="0.25">
      <c r="A8" s="21"/>
      <c r="B8" s="21" t="s">
        <v>8</v>
      </c>
      <c r="C8" s="18">
        <f>STDEV(C4:D6)</f>
        <v>13.968346184230795</v>
      </c>
      <c r="D8" s="20"/>
      <c r="E8" s="20"/>
      <c r="F8" s="20"/>
      <c r="G8" s="21" t="s">
        <v>8</v>
      </c>
      <c r="H8" s="18" t="e">
        <f>STDEV(H4:I6)</f>
        <v>#DIV/0!</v>
      </c>
      <c r="I8" s="20"/>
      <c r="J8" s="20"/>
      <c r="K8" s="20"/>
      <c r="L8" s="21" t="s">
        <v>8</v>
      </c>
      <c r="M8" s="18" t="e">
        <f>STDEV(M4:N6)</f>
        <v>#DIV/0!</v>
      </c>
      <c r="N8" s="20"/>
      <c r="O8" s="20"/>
      <c r="P8" s="20"/>
      <c r="Q8" s="21" t="s">
        <v>8</v>
      </c>
      <c r="R8" s="18" t="e">
        <f>STDEV(R4:S6)</f>
        <v>#DIV/0!</v>
      </c>
      <c r="S8" s="20"/>
    </row>
    <row r="9" spans="1:24" x14ac:dyDescent="0.25">
      <c r="A9" s="21"/>
      <c r="B9" s="21"/>
      <c r="C9" s="23"/>
      <c r="D9" s="20"/>
      <c r="E9" s="20"/>
      <c r="F9" s="20"/>
      <c r="G9" s="21"/>
      <c r="H9" s="23"/>
      <c r="I9" s="20"/>
      <c r="J9" s="20"/>
      <c r="K9" s="20"/>
      <c r="L9" s="21"/>
      <c r="M9" s="23"/>
      <c r="N9" s="20"/>
      <c r="O9" s="20"/>
      <c r="P9" s="20"/>
      <c r="Q9" s="21"/>
      <c r="R9" s="23"/>
      <c r="S9" s="20"/>
    </row>
    <row r="10" spans="1:24" x14ac:dyDescent="0.25">
      <c r="A10" s="22" t="s">
        <v>3</v>
      </c>
      <c r="B10" s="24"/>
      <c r="C10" s="24" t="s">
        <v>10</v>
      </c>
      <c r="D10" s="24" t="s">
        <v>11</v>
      </c>
      <c r="E10" s="24"/>
      <c r="F10" s="24"/>
      <c r="G10" s="24"/>
      <c r="H10" s="24" t="s">
        <v>10</v>
      </c>
      <c r="I10" s="24" t="s">
        <v>11</v>
      </c>
      <c r="J10" s="24"/>
      <c r="K10" s="24"/>
      <c r="L10" s="24"/>
      <c r="M10" s="24" t="s">
        <v>10</v>
      </c>
      <c r="N10" s="24" t="s">
        <v>11</v>
      </c>
      <c r="O10" s="24"/>
      <c r="P10" s="24"/>
      <c r="Q10" s="24"/>
      <c r="R10" s="24" t="s">
        <v>10</v>
      </c>
      <c r="S10" s="24" t="s">
        <v>11</v>
      </c>
    </row>
    <row r="11" spans="1:24" x14ac:dyDescent="0.25">
      <c r="A11" s="72" t="s">
        <v>13</v>
      </c>
      <c r="B11" s="21" t="s">
        <v>4</v>
      </c>
      <c r="C11" s="20">
        <v>111.13083366674495</v>
      </c>
      <c r="D11" s="20">
        <v>116.8152960084638</v>
      </c>
      <c r="E11" s="32" t="s">
        <v>28</v>
      </c>
      <c r="F11" s="20"/>
      <c r="G11" s="21" t="s">
        <v>4</v>
      </c>
      <c r="H11" s="20"/>
      <c r="I11" s="20"/>
      <c r="J11" s="25"/>
      <c r="K11" s="20"/>
      <c r="L11" s="21" t="s">
        <v>4</v>
      </c>
      <c r="M11" s="20"/>
      <c r="N11" s="20"/>
      <c r="O11" s="25"/>
      <c r="P11" s="20"/>
      <c r="Q11" s="21" t="s">
        <v>4</v>
      </c>
      <c r="R11" s="20"/>
      <c r="S11" s="20"/>
      <c r="T11" s="4"/>
      <c r="V11" s="62">
        <v>99.723062639068985</v>
      </c>
      <c r="W11" s="61">
        <v>100.27693736093102</v>
      </c>
      <c r="X11" s="32" t="s">
        <v>28</v>
      </c>
    </row>
    <row r="12" spans="1:24" x14ac:dyDescent="0.25">
      <c r="A12" s="72"/>
      <c r="B12" s="21" t="s">
        <v>5</v>
      </c>
      <c r="C12" s="20">
        <v>108.3249795428702</v>
      </c>
      <c r="D12" s="20">
        <v>101.35110017694488</v>
      </c>
      <c r="E12" s="19">
        <v>45597</v>
      </c>
      <c r="F12" s="20"/>
      <c r="G12" s="21" t="s">
        <v>5</v>
      </c>
      <c r="H12" s="20"/>
      <c r="I12" s="20"/>
      <c r="J12" s="20"/>
      <c r="K12" s="20"/>
      <c r="L12" s="21" t="s">
        <v>5</v>
      </c>
      <c r="M12" s="20"/>
      <c r="N12" s="20"/>
      <c r="O12" s="20"/>
      <c r="P12" s="20"/>
      <c r="Q12" s="21" t="s">
        <v>5</v>
      </c>
      <c r="R12" s="20"/>
      <c r="S12" s="20"/>
      <c r="V12" s="62">
        <v>96.936543790367608</v>
      </c>
      <c r="W12" s="61">
        <v>103.06345620963239</v>
      </c>
      <c r="X12" s="19">
        <v>45597</v>
      </c>
    </row>
    <row r="13" spans="1:24" x14ac:dyDescent="0.25">
      <c r="A13" s="72"/>
      <c r="B13" s="21" t="s">
        <v>6</v>
      </c>
      <c r="C13" s="20">
        <v>86.32120305960747</v>
      </c>
      <c r="D13" s="20">
        <v>82.568883604465597</v>
      </c>
      <c r="E13" s="27" t="s">
        <v>30</v>
      </c>
      <c r="F13" s="20"/>
      <c r="G13" s="21" t="s">
        <v>6</v>
      </c>
      <c r="H13" s="20"/>
      <c r="I13" s="20"/>
      <c r="J13" s="20"/>
      <c r="K13" s="20"/>
      <c r="L13" s="21" t="s">
        <v>6</v>
      </c>
      <c r="M13" s="18"/>
      <c r="N13" s="18"/>
      <c r="O13" s="20"/>
      <c r="P13" s="20"/>
      <c r="Q13" s="21" t="s">
        <v>6</v>
      </c>
      <c r="R13" s="20"/>
      <c r="S13" s="20"/>
      <c r="T13" s="5"/>
      <c r="V13" s="68">
        <v>1.0640014130946773</v>
      </c>
      <c r="W13" s="68">
        <v>0.93599858690532267</v>
      </c>
      <c r="X13" t="s">
        <v>32</v>
      </c>
    </row>
    <row r="14" spans="1:24" x14ac:dyDescent="0.25">
      <c r="A14" s="21"/>
      <c r="B14" s="22" t="s">
        <v>7</v>
      </c>
      <c r="C14" s="18">
        <f>AVERAGE(C11:D13)</f>
        <v>101.08538267651615</v>
      </c>
      <c r="D14" s="20"/>
      <c r="E14" s="20"/>
      <c r="F14" s="20"/>
      <c r="G14" s="22" t="s">
        <v>7</v>
      </c>
      <c r="H14" s="18" t="e">
        <f>AVERAGE(H11:I13)</f>
        <v>#DIV/0!</v>
      </c>
      <c r="I14" s="20"/>
      <c r="J14" s="20"/>
      <c r="K14" s="20"/>
      <c r="L14" s="22" t="s">
        <v>7</v>
      </c>
      <c r="M14" s="18" t="e">
        <f>AVERAGE(M11:N13)</f>
        <v>#DIV/0!</v>
      </c>
      <c r="N14" s="20"/>
      <c r="O14" s="20"/>
      <c r="P14" s="20"/>
      <c r="Q14" s="22" t="s">
        <v>7</v>
      </c>
      <c r="R14" s="18" t="e">
        <f>AVERAGE(R11:S13)</f>
        <v>#DIV/0!</v>
      </c>
      <c r="S14" s="20"/>
    </row>
    <row r="15" spans="1:24" x14ac:dyDescent="0.25">
      <c r="A15" s="21"/>
      <c r="B15" s="21" t="s">
        <v>8</v>
      </c>
      <c r="C15" s="18">
        <f>STDEV(C11:D13)</f>
        <v>13.868419991120987</v>
      </c>
      <c r="D15" s="20"/>
      <c r="E15" s="20"/>
      <c r="F15" s="20"/>
      <c r="G15" s="21" t="s">
        <v>8</v>
      </c>
      <c r="H15" s="18" t="e">
        <f>STDEV(H11:I13)</f>
        <v>#DIV/0!</v>
      </c>
      <c r="I15" s="20"/>
      <c r="J15" s="20"/>
      <c r="K15" s="20"/>
      <c r="L15" s="21" t="s">
        <v>8</v>
      </c>
      <c r="M15" s="18" t="e">
        <f>STDEV(M11:N13)</f>
        <v>#DIV/0!</v>
      </c>
      <c r="N15" s="20"/>
      <c r="O15" s="20"/>
      <c r="P15" s="20"/>
      <c r="Q15" s="21" t="s">
        <v>8</v>
      </c>
      <c r="R15" s="18" t="e">
        <f>STDEV(R11:S13)</f>
        <v>#DIV/0!</v>
      </c>
      <c r="S15" s="20"/>
    </row>
    <row r="16" spans="1:24" x14ac:dyDescent="0.25">
      <c r="A16" s="21"/>
      <c r="B16" s="21"/>
      <c r="C16" s="23"/>
      <c r="D16" s="20"/>
      <c r="E16" s="20"/>
      <c r="F16" s="20"/>
      <c r="G16" s="21"/>
      <c r="H16" s="23"/>
      <c r="I16" s="20"/>
      <c r="J16" s="20"/>
      <c r="K16" s="20"/>
      <c r="L16" s="21"/>
      <c r="M16" s="23"/>
      <c r="N16" s="20"/>
      <c r="O16" s="20"/>
      <c r="P16" s="20"/>
      <c r="Q16" s="21"/>
      <c r="R16" s="23"/>
      <c r="S16" s="20"/>
      <c r="T16" s="5"/>
    </row>
    <row r="17" spans="1:24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24" ht="15.75" thickBot="1" x14ac:dyDescent="0.3">
      <c r="A18" s="22" t="s">
        <v>15</v>
      </c>
      <c r="B18" s="24"/>
      <c r="C18" s="24" t="s">
        <v>10</v>
      </c>
      <c r="D18" s="24" t="s">
        <v>11</v>
      </c>
      <c r="E18" s="24"/>
      <c r="F18" s="24"/>
      <c r="G18" s="24"/>
      <c r="H18" s="24" t="s">
        <v>10</v>
      </c>
      <c r="I18" s="24" t="s">
        <v>11</v>
      </c>
      <c r="J18" s="24"/>
      <c r="K18" s="24"/>
      <c r="L18" s="24"/>
      <c r="M18" s="24" t="s">
        <v>10</v>
      </c>
      <c r="N18" s="24" t="s">
        <v>11</v>
      </c>
      <c r="O18" s="24"/>
      <c r="P18" s="24"/>
      <c r="Q18" s="24"/>
      <c r="R18" s="24" t="s">
        <v>10</v>
      </c>
      <c r="S18" s="24" t="s">
        <v>11</v>
      </c>
      <c r="T18" s="4"/>
    </row>
    <row r="19" spans="1:24" ht="15.75" thickBot="1" x14ac:dyDescent="0.3">
      <c r="A19" s="72" t="s">
        <v>12</v>
      </c>
      <c r="B19" s="21" t="s">
        <v>4</v>
      </c>
      <c r="C19" s="20">
        <v>93.621567847100664</v>
      </c>
      <c r="D19" s="20">
        <v>113.17513337420289</v>
      </c>
      <c r="E19" s="32" t="s">
        <v>28</v>
      </c>
      <c r="F19" s="20"/>
      <c r="G19" s="21" t="s">
        <v>4</v>
      </c>
      <c r="H19" s="20"/>
      <c r="I19" s="20"/>
      <c r="J19" s="25"/>
      <c r="K19" s="20"/>
      <c r="L19" s="21" t="s">
        <v>4</v>
      </c>
      <c r="M19" s="20"/>
      <c r="N19" s="20"/>
      <c r="O19" s="25"/>
      <c r="P19" s="20"/>
      <c r="Q19" s="21" t="s">
        <v>4</v>
      </c>
      <c r="R19" s="20"/>
      <c r="S19" s="20"/>
      <c r="V19" s="60">
        <v>95.000129391772404</v>
      </c>
      <c r="W19" s="61">
        <v>104.9998706082276</v>
      </c>
      <c r="X19" s="32" t="s">
        <v>28</v>
      </c>
    </row>
    <row r="20" spans="1:24" x14ac:dyDescent="0.25">
      <c r="A20" s="72"/>
      <c r="B20" s="21" t="s">
        <v>5</v>
      </c>
      <c r="C20" s="20">
        <v>88.1381093811396</v>
      </c>
      <c r="D20" s="20">
        <v>102.59934797372314</v>
      </c>
      <c r="E20" s="19">
        <v>45597</v>
      </c>
      <c r="F20" s="20"/>
      <c r="G20" s="21" t="s">
        <v>5</v>
      </c>
      <c r="H20" s="20"/>
      <c r="I20" s="20"/>
      <c r="J20" s="20"/>
      <c r="K20" s="20"/>
      <c r="L20" s="21" t="s">
        <v>5</v>
      </c>
      <c r="M20" s="20"/>
      <c r="N20" s="20"/>
      <c r="O20" s="20"/>
      <c r="P20" s="20"/>
      <c r="Q20" s="21" t="s">
        <v>5</v>
      </c>
      <c r="R20" s="20"/>
      <c r="S20" s="20"/>
      <c r="T20" s="5"/>
      <c r="V20" s="60">
        <v>100.75619079275387</v>
      </c>
      <c r="W20" s="61">
        <v>99.24380920724613</v>
      </c>
      <c r="X20" s="19">
        <v>45597</v>
      </c>
    </row>
    <row r="21" spans="1:24" x14ac:dyDescent="0.25">
      <c r="A21" s="72"/>
      <c r="B21" s="21" t="s">
        <v>6</v>
      </c>
      <c r="C21" s="21">
        <f>1.07620242190611*100</f>
        <v>107.62024219061099</v>
      </c>
      <c r="D21" s="20">
        <f>0.844233402469349*100</f>
        <v>84.423340246934899</v>
      </c>
      <c r="E21" s="29" t="s">
        <v>32</v>
      </c>
      <c r="F21" s="20"/>
      <c r="G21" s="21" t="s">
        <v>6</v>
      </c>
      <c r="H21" s="20"/>
      <c r="I21" s="20"/>
      <c r="J21" s="20"/>
      <c r="K21" s="20"/>
      <c r="L21" s="21" t="s">
        <v>6</v>
      </c>
      <c r="M21" s="20"/>
      <c r="N21" s="20"/>
      <c r="O21" s="20"/>
      <c r="P21" s="20"/>
      <c r="Q21" s="21" t="s">
        <v>6</v>
      </c>
      <c r="R21" s="20"/>
      <c r="S21" s="20"/>
      <c r="T21" s="5"/>
      <c r="V21" s="70">
        <v>0.99227396211278651</v>
      </c>
      <c r="W21" s="70">
        <v>1.0077260378872135</v>
      </c>
      <c r="X21" t="s">
        <v>32</v>
      </c>
    </row>
    <row r="22" spans="1:24" x14ac:dyDescent="0.25">
      <c r="A22" s="21"/>
      <c r="B22" s="22" t="s">
        <v>7</v>
      </c>
      <c r="C22" s="18">
        <f>AVERAGE(C19:D21)</f>
        <v>98.262956835618695</v>
      </c>
      <c r="D22" s="20"/>
      <c r="E22" s="20"/>
      <c r="F22" s="20"/>
      <c r="G22" s="22" t="s">
        <v>7</v>
      </c>
      <c r="H22" s="18" t="e">
        <f>AVERAGE(H19:I21)</f>
        <v>#DIV/0!</v>
      </c>
      <c r="I22" s="20"/>
      <c r="J22" s="20"/>
      <c r="K22" s="20"/>
      <c r="L22" s="22" t="s">
        <v>7</v>
      </c>
      <c r="M22" s="18" t="e">
        <f>AVERAGE(M19:N21)</f>
        <v>#DIV/0!</v>
      </c>
      <c r="N22" s="20"/>
      <c r="O22" s="20"/>
      <c r="P22" s="20"/>
      <c r="Q22" s="22" t="s">
        <v>7</v>
      </c>
      <c r="R22" s="18" t="e">
        <f>AVERAGE(R19:S21)</f>
        <v>#DIV/0!</v>
      </c>
      <c r="S22" s="20"/>
    </row>
    <row r="23" spans="1:24" x14ac:dyDescent="0.25">
      <c r="A23" s="21"/>
      <c r="B23" s="21" t="s">
        <v>8</v>
      </c>
      <c r="C23" s="18">
        <f>STDEV(C19:D21)</f>
        <v>11.351881795334737</v>
      </c>
      <c r="D23" s="20"/>
      <c r="E23" s="20"/>
      <c r="F23" s="20"/>
      <c r="G23" s="21" t="s">
        <v>8</v>
      </c>
      <c r="H23" s="18" t="e">
        <f>STDEV(H19:I21)</f>
        <v>#DIV/0!</v>
      </c>
      <c r="I23" s="20"/>
      <c r="J23" s="20"/>
      <c r="K23" s="20"/>
      <c r="L23" s="21" t="s">
        <v>8</v>
      </c>
      <c r="M23" s="18" t="e">
        <f>STDEV(M19:N21)</f>
        <v>#DIV/0!</v>
      </c>
      <c r="N23" s="20"/>
      <c r="O23" s="20"/>
      <c r="P23" s="20"/>
      <c r="Q23" s="21" t="s">
        <v>8</v>
      </c>
      <c r="R23" s="18" t="e">
        <f>STDEV(R19:S21)</f>
        <v>#DIV/0!</v>
      </c>
      <c r="S23" s="20"/>
    </row>
    <row r="24" spans="1:24" x14ac:dyDescent="0.25">
      <c r="A24" s="21"/>
      <c r="B24" s="21"/>
      <c r="C24" s="20"/>
      <c r="D24" s="20"/>
      <c r="E24" s="20"/>
      <c r="F24" s="20"/>
      <c r="G24" s="21"/>
      <c r="H24" s="20"/>
      <c r="I24" s="20"/>
      <c r="J24" s="20"/>
      <c r="K24" s="20"/>
      <c r="L24" s="21"/>
      <c r="M24" s="18"/>
      <c r="N24" s="18"/>
      <c r="O24" s="20"/>
      <c r="P24" s="20"/>
      <c r="Q24" s="21"/>
      <c r="R24" s="20"/>
      <c r="S24" s="20"/>
    </row>
    <row r="25" spans="1:24" x14ac:dyDescent="0.25">
      <c r="A25" s="22" t="s">
        <v>15</v>
      </c>
      <c r="B25" s="24"/>
      <c r="C25" s="24" t="s">
        <v>10</v>
      </c>
      <c r="D25" s="24" t="s">
        <v>11</v>
      </c>
      <c r="E25" s="24"/>
      <c r="F25" s="24"/>
      <c r="G25" s="24"/>
      <c r="H25" s="24" t="s">
        <v>10</v>
      </c>
      <c r="I25" s="24" t="s">
        <v>11</v>
      </c>
      <c r="J25" s="24"/>
      <c r="K25" s="24"/>
      <c r="L25" s="24"/>
      <c r="M25" s="24" t="s">
        <v>10</v>
      </c>
      <c r="N25" s="24" t="s">
        <v>11</v>
      </c>
      <c r="O25" s="24"/>
      <c r="P25" s="24"/>
      <c r="Q25" s="24"/>
      <c r="R25" s="24" t="s">
        <v>10</v>
      </c>
      <c r="S25" s="24" t="s">
        <v>11</v>
      </c>
    </row>
    <row r="26" spans="1:24" x14ac:dyDescent="0.25">
      <c r="A26" s="72" t="s">
        <v>13</v>
      </c>
      <c r="B26" s="21" t="s">
        <v>4</v>
      </c>
      <c r="C26" s="34">
        <v>97.443564436913732</v>
      </c>
      <c r="D26" s="21">
        <v>101.77064004547537</v>
      </c>
      <c r="E26" s="32" t="s">
        <v>28</v>
      </c>
      <c r="F26" s="20"/>
      <c r="G26" s="21" t="s">
        <v>4</v>
      </c>
      <c r="H26" s="20"/>
      <c r="I26" s="20"/>
      <c r="J26" s="25"/>
      <c r="K26" s="20"/>
      <c r="L26" s="21" t="s">
        <v>4</v>
      </c>
      <c r="M26" s="20"/>
      <c r="N26" s="20"/>
      <c r="O26" s="25"/>
      <c r="P26" s="20"/>
      <c r="Q26" s="21" t="s">
        <v>4</v>
      </c>
      <c r="R26" s="20"/>
      <c r="S26" s="20"/>
      <c r="V26" s="62">
        <v>101.61292337676939</v>
      </c>
      <c r="W26" s="61">
        <v>98.387076623230598</v>
      </c>
      <c r="X26" s="32" t="s">
        <v>28</v>
      </c>
    </row>
    <row r="27" spans="1:24" x14ac:dyDescent="0.25">
      <c r="A27" s="72"/>
      <c r="B27" s="21" t="s">
        <v>5</v>
      </c>
      <c r="C27" s="20">
        <v>98.865404454364509</v>
      </c>
      <c r="D27" s="20">
        <v>114.93976336802629</v>
      </c>
      <c r="E27" s="19">
        <v>45597</v>
      </c>
      <c r="F27" s="20"/>
      <c r="G27" s="21" t="s">
        <v>5</v>
      </c>
      <c r="H27" s="20"/>
      <c r="I27" s="20"/>
      <c r="J27" s="20"/>
      <c r="K27" s="20"/>
      <c r="L27" s="21" t="s">
        <v>5</v>
      </c>
      <c r="M27" s="20"/>
      <c r="N27" s="20"/>
      <c r="O27" s="20"/>
      <c r="P27" s="20"/>
      <c r="Q27" s="21" t="s">
        <v>5</v>
      </c>
      <c r="R27" s="20"/>
      <c r="S27" s="20"/>
      <c r="V27" s="62">
        <v>92.153901372063345</v>
      </c>
      <c r="W27" s="61">
        <v>107.84609862793664</v>
      </c>
      <c r="X27" s="19">
        <v>45597</v>
      </c>
    </row>
    <row r="28" spans="1:24" x14ac:dyDescent="0.25">
      <c r="A28" s="72"/>
      <c r="B28" s="21" t="s">
        <v>6</v>
      </c>
      <c r="C28" s="21">
        <v>79.704323565754592</v>
      </c>
      <c r="D28" s="20">
        <v>79.210966052361343</v>
      </c>
      <c r="E28" s="27" t="s">
        <v>30</v>
      </c>
      <c r="F28" s="20"/>
      <c r="G28" s="21" t="s">
        <v>6</v>
      </c>
      <c r="H28" s="21"/>
      <c r="I28" s="20"/>
      <c r="J28" s="20"/>
      <c r="K28" s="20"/>
      <c r="L28" s="21" t="s">
        <v>6</v>
      </c>
      <c r="M28" s="21"/>
      <c r="N28" s="20"/>
      <c r="O28" s="20"/>
      <c r="P28" s="20"/>
      <c r="Q28" s="21" t="s">
        <v>6</v>
      </c>
      <c r="R28" s="21"/>
      <c r="S28" s="20"/>
      <c r="T28" s="5"/>
      <c r="V28" s="70">
        <v>0.92677860191230854</v>
      </c>
      <c r="W28" s="70">
        <v>1.0732213980876915</v>
      </c>
      <c r="X28" t="s">
        <v>32</v>
      </c>
    </row>
    <row r="29" spans="1:24" x14ac:dyDescent="0.25">
      <c r="A29" s="21"/>
      <c r="B29" s="22" t="s">
        <v>7</v>
      </c>
      <c r="C29" s="18">
        <f>AVERAGE(C26:D28)</f>
        <v>95.322443653815981</v>
      </c>
      <c r="D29" s="20"/>
      <c r="E29" s="20"/>
      <c r="F29" s="20"/>
      <c r="G29" s="22" t="s">
        <v>7</v>
      </c>
      <c r="H29" s="18" t="e">
        <f>AVERAGE(H26:I28)</f>
        <v>#DIV/0!</v>
      </c>
      <c r="I29" s="20"/>
      <c r="J29" s="20"/>
      <c r="K29" s="20"/>
      <c r="L29" s="22" t="s">
        <v>7</v>
      </c>
      <c r="M29" s="18" t="e">
        <f>AVERAGE(M26:N28)</f>
        <v>#DIV/0!</v>
      </c>
      <c r="N29" s="20"/>
      <c r="O29" s="20"/>
      <c r="P29" s="20"/>
      <c r="Q29" s="22" t="s">
        <v>7</v>
      </c>
      <c r="R29" s="18" t="e">
        <f>AVERAGE(R26:S28)</f>
        <v>#DIV/0!</v>
      </c>
      <c r="S29" s="20"/>
    </row>
    <row r="30" spans="1:24" x14ac:dyDescent="0.25">
      <c r="A30" s="21"/>
      <c r="B30" s="21" t="s">
        <v>8</v>
      </c>
      <c r="C30" s="18">
        <f>STDEV(C26:D28)</f>
        <v>13.762089809857583</v>
      </c>
      <c r="D30" s="20"/>
      <c r="E30" s="20"/>
      <c r="F30" s="20"/>
      <c r="G30" s="21" t="s">
        <v>8</v>
      </c>
      <c r="H30" s="18" t="e">
        <f>STDEV(H26:I28)</f>
        <v>#DIV/0!</v>
      </c>
      <c r="I30" s="20"/>
      <c r="J30" s="20"/>
      <c r="K30" s="20"/>
      <c r="L30" s="21" t="s">
        <v>8</v>
      </c>
      <c r="M30" s="18" t="e">
        <f>STDEV(M26:N28)</f>
        <v>#DIV/0!</v>
      </c>
      <c r="N30" s="20"/>
      <c r="O30" s="20"/>
      <c r="P30" s="20"/>
      <c r="Q30" s="21" t="s">
        <v>8</v>
      </c>
      <c r="R30" s="18" t="e">
        <f>STDEV(R26:S28)</f>
        <v>#DIV/0!</v>
      </c>
      <c r="S30" s="20"/>
    </row>
    <row r="31" spans="1:24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24" ht="15.75" thickBot="1" x14ac:dyDescent="0.3">
      <c r="A32" s="22" t="s">
        <v>9</v>
      </c>
      <c r="B32" s="24"/>
      <c r="C32" s="24" t="s">
        <v>10</v>
      </c>
      <c r="D32" s="24" t="s">
        <v>11</v>
      </c>
      <c r="E32" s="24"/>
      <c r="F32" s="24"/>
      <c r="G32" s="24"/>
      <c r="H32" s="24" t="s">
        <v>10</v>
      </c>
      <c r="I32" s="24" t="s">
        <v>11</v>
      </c>
      <c r="J32" s="24"/>
      <c r="K32" s="24"/>
      <c r="L32" s="24"/>
      <c r="M32" s="24" t="s">
        <v>10</v>
      </c>
      <c r="N32" s="24" t="s">
        <v>11</v>
      </c>
      <c r="O32" s="24"/>
      <c r="P32" s="24"/>
      <c r="Q32" s="24"/>
      <c r="R32" s="24" t="s">
        <v>10</v>
      </c>
      <c r="S32" s="24" t="s">
        <v>11</v>
      </c>
    </row>
    <row r="33" spans="1:24" x14ac:dyDescent="0.25">
      <c r="A33" s="72" t="s">
        <v>12</v>
      </c>
      <c r="B33" s="21" t="s">
        <v>4</v>
      </c>
      <c r="C33" s="20">
        <v>93.921089116279077</v>
      </c>
      <c r="D33" s="20">
        <v>94.740342602660732</v>
      </c>
      <c r="E33" s="19">
        <v>45597</v>
      </c>
      <c r="F33" s="20"/>
      <c r="G33" s="21" t="s">
        <v>4</v>
      </c>
      <c r="H33" s="20"/>
      <c r="I33" s="20"/>
      <c r="J33" s="25"/>
      <c r="K33" s="20"/>
      <c r="L33" s="21" t="s">
        <v>4</v>
      </c>
      <c r="M33" s="20"/>
      <c r="N33" s="20"/>
      <c r="O33" s="25"/>
      <c r="P33" s="20"/>
      <c r="Q33" s="21" t="s">
        <v>4</v>
      </c>
      <c r="R33" s="20"/>
      <c r="S33" s="20"/>
      <c r="V33" s="60">
        <v>98.716134401769111</v>
      </c>
      <c r="W33" s="61">
        <v>101.2838655982309</v>
      </c>
      <c r="X33" s="19">
        <v>45597</v>
      </c>
    </row>
    <row r="34" spans="1:24" x14ac:dyDescent="0.25">
      <c r="A34" s="72"/>
      <c r="B34" s="21" t="s">
        <v>5</v>
      </c>
      <c r="C34">
        <v>99.095280527982638</v>
      </c>
      <c r="D34">
        <v>94.891357141255924</v>
      </c>
      <c r="E34" s="27" t="s">
        <v>30</v>
      </c>
      <c r="F34" s="20"/>
      <c r="G34" s="21" t="s">
        <v>5</v>
      </c>
      <c r="H34" s="20"/>
      <c r="I34" s="20"/>
      <c r="J34" s="20"/>
      <c r="K34" s="20"/>
      <c r="L34" s="21" t="s">
        <v>5</v>
      </c>
      <c r="M34" s="20"/>
      <c r="N34" s="20"/>
      <c r="O34" s="20"/>
      <c r="P34" s="20"/>
      <c r="Q34" s="21" t="s">
        <v>5</v>
      </c>
      <c r="R34" s="20"/>
      <c r="S34" s="20"/>
      <c r="V34">
        <v>106.73715424070342</v>
      </c>
      <c r="W34">
        <v>93.262845759296582</v>
      </c>
      <c r="X34" s="5"/>
    </row>
    <row r="35" spans="1:24" x14ac:dyDescent="0.25">
      <c r="A35" s="72"/>
      <c r="B35" s="21" t="s">
        <v>6</v>
      </c>
      <c r="C35" s="21">
        <f>1.08726362201479*100</f>
        <v>108.72636220147899</v>
      </c>
      <c r="D35" s="20">
        <f>0.871808689859595*100</f>
        <v>87.180868985959506</v>
      </c>
      <c r="E35" s="29" t="s">
        <v>32</v>
      </c>
      <c r="F35" s="20"/>
      <c r="G35" s="21" t="s">
        <v>6</v>
      </c>
      <c r="H35" s="21"/>
      <c r="I35" s="20"/>
      <c r="J35" s="20"/>
      <c r="K35" s="20"/>
      <c r="L35" s="21" t="s">
        <v>6</v>
      </c>
      <c r="M35" s="21"/>
      <c r="N35" s="20"/>
      <c r="O35" s="20"/>
      <c r="P35" s="20"/>
      <c r="Q35" s="21" t="s">
        <v>6</v>
      </c>
      <c r="R35" s="21"/>
      <c r="S35" s="20"/>
      <c r="T35" s="5"/>
      <c r="V35" s="68">
        <v>0.90350248565318236</v>
      </c>
      <c r="W35" s="68">
        <v>1.0964975143468179</v>
      </c>
      <c r="X35" t="s">
        <v>32</v>
      </c>
    </row>
    <row r="36" spans="1:24" x14ac:dyDescent="0.25">
      <c r="A36" s="21"/>
      <c r="B36" s="22" t="s">
        <v>7</v>
      </c>
      <c r="C36" s="18">
        <f>AVERAGE(C33:D35)</f>
        <v>96.42588342926949</v>
      </c>
      <c r="D36" s="20"/>
      <c r="E36" s="20"/>
      <c r="F36" s="20"/>
      <c r="G36" s="22" t="s">
        <v>7</v>
      </c>
      <c r="H36" s="18" t="e">
        <f>AVERAGE(H33:I35)</f>
        <v>#DIV/0!</v>
      </c>
      <c r="I36" s="20"/>
      <c r="J36" s="20"/>
      <c r="K36" s="20"/>
      <c r="L36" s="22" t="s">
        <v>7</v>
      </c>
      <c r="M36" s="18" t="e">
        <f>AVERAGE(M33:N35)</f>
        <v>#DIV/0!</v>
      </c>
      <c r="N36" s="20"/>
      <c r="O36" s="20"/>
      <c r="P36" s="20"/>
      <c r="Q36" s="22" t="s">
        <v>7</v>
      </c>
      <c r="R36" s="18" t="e">
        <f>AVERAGE(R33:S35)</f>
        <v>#DIV/0!</v>
      </c>
      <c r="S36" s="20"/>
    </row>
    <row r="37" spans="1:24" x14ac:dyDescent="0.25">
      <c r="A37" s="21"/>
      <c r="B37" s="21" t="s">
        <v>8</v>
      </c>
      <c r="C37" s="18">
        <f>STDEV(C33:D35)</f>
        <v>7.1465735049793437</v>
      </c>
      <c r="D37" s="20"/>
      <c r="E37" s="20"/>
      <c r="F37" s="20"/>
      <c r="G37" s="21" t="s">
        <v>8</v>
      </c>
      <c r="H37" s="18" t="e">
        <f>STDEV(H33:I35)</f>
        <v>#DIV/0!</v>
      </c>
      <c r="I37" s="20"/>
      <c r="J37" s="20"/>
      <c r="K37" s="20"/>
      <c r="L37" s="21" t="s">
        <v>8</v>
      </c>
      <c r="M37" s="18" t="e">
        <f>STDEV(M33:N35)</f>
        <v>#DIV/0!</v>
      </c>
      <c r="N37" s="20"/>
      <c r="O37" s="20"/>
      <c r="P37" s="20"/>
      <c r="Q37" s="21" t="s">
        <v>8</v>
      </c>
      <c r="R37" s="18" t="e">
        <f>STDEV(R33:S35)</f>
        <v>#DIV/0!</v>
      </c>
      <c r="S37" s="20"/>
    </row>
    <row r="38" spans="1:24" x14ac:dyDescent="0.25">
      <c r="A38" s="21"/>
      <c r="B38" s="21"/>
      <c r="C38" s="21"/>
      <c r="D38" s="20"/>
      <c r="E38" s="20"/>
      <c r="F38" s="20"/>
      <c r="G38" s="21"/>
      <c r="H38" s="21"/>
      <c r="I38" s="20"/>
      <c r="J38" s="20"/>
      <c r="K38" s="20"/>
      <c r="L38" s="21"/>
      <c r="M38" s="21"/>
      <c r="N38" s="20"/>
      <c r="O38" s="20"/>
      <c r="P38" s="20"/>
      <c r="Q38" s="21"/>
      <c r="R38" s="21"/>
      <c r="S38" s="20"/>
    </row>
    <row r="39" spans="1:24" x14ac:dyDescent="0.25">
      <c r="A39" s="22" t="s">
        <v>9</v>
      </c>
      <c r="B39" s="24"/>
      <c r="C39" s="24" t="s">
        <v>10</v>
      </c>
      <c r="D39" s="24" t="s">
        <v>11</v>
      </c>
      <c r="E39" s="24"/>
      <c r="F39" s="24"/>
      <c r="G39" s="24"/>
      <c r="H39" s="24" t="s">
        <v>10</v>
      </c>
      <c r="I39" s="24" t="s">
        <v>11</v>
      </c>
      <c r="J39" s="24"/>
      <c r="K39" s="24"/>
      <c r="L39" s="24"/>
      <c r="M39" s="24" t="s">
        <v>10</v>
      </c>
      <c r="N39" s="24" t="s">
        <v>11</v>
      </c>
      <c r="O39" s="24"/>
      <c r="P39" s="24"/>
      <c r="Q39" s="24"/>
      <c r="R39" s="24" t="s">
        <v>10</v>
      </c>
      <c r="S39" s="24" t="s">
        <v>11</v>
      </c>
    </row>
    <row r="40" spans="1:24" x14ac:dyDescent="0.25">
      <c r="A40" s="72" t="s">
        <v>13</v>
      </c>
      <c r="B40" s="21" t="s">
        <v>4</v>
      </c>
      <c r="C40" s="20">
        <v>70.79485422545882</v>
      </c>
      <c r="D40" s="20">
        <v>71.007745614795041</v>
      </c>
      <c r="E40" s="27" t="s">
        <v>30</v>
      </c>
      <c r="F40" s="20"/>
      <c r="G40" s="21" t="s">
        <v>4</v>
      </c>
      <c r="H40" s="20"/>
      <c r="I40" s="20"/>
      <c r="J40" s="25"/>
      <c r="K40" s="20"/>
      <c r="L40" s="21" t="s">
        <v>4</v>
      </c>
      <c r="M40" s="20"/>
      <c r="N40" s="20"/>
      <c r="O40" s="25"/>
      <c r="P40" s="20"/>
      <c r="Q40" s="21" t="s">
        <v>4</v>
      </c>
      <c r="R40" s="20"/>
      <c r="S40" s="20"/>
      <c r="V40" s="62">
        <v>100.92951399403591</v>
      </c>
      <c r="W40" s="61">
        <v>99.070486005964071</v>
      </c>
      <c r="X40" s="19">
        <v>45597</v>
      </c>
    </row>
    <row r="41" spans="1:24" x14ac:dyDescent="0.25">
      <c r="A41" s="72"/>
      <c r="B41" s="21" t="s">
        <v>5</v>
      </c>
      <c r="C41" s="20">
        <v>102.88688167890301</v>
      </c>
      <c r="D41" s="20">
        <v>104.21146429595467</v>
      </c>
      <c r="E41" s="27" t="s">
        <v>30</v>
      </c>
      <c r="F41" s="20"/>
      <c r="G41" s="21" t="s">
        <v>5</v>
      </c>
      <c r="H41" s="20"/>
      <c r="I41" s="20"/>
      <c r="J41" s="20"/>
      <c r="K41" s="20"/>
      <c r="L41" s="21" t="s">
        <v>5</v>
      </c>
      <c r="M41" s="20"/>
      <c r="N41" s="20"/>
      <c r="O41" s="20"/>
      <c r="P41" s="20"/>
      <c r="Q41" s="21" t="s">
        <v>5</v>
      </c>
      <c r="R41" s="20"/>
      <c r="S41" s="20"/>
      <c r="V41">
        <v>97.75647693873151</v>
      </c>
      <c r="W41">
        <v>102.24352306126849</v>
      </c>
      <c r="X41" s="5"/>
    </row>
    <row r="42" spans="1:24" x14ac:dyDescent="0.25">
      <c r="A42" s="72"/>
      <c r="B42" s="21" t="s">
        <v>6</v>
      </c>
      <c r="C42" s="21">
        <f>0.926994231841449*100</f>
        <v>92.699423184144905</v>
      </c>
      <c r="D42" s="20">
        <f>1.0786516833034*100</f>
        <v>107.86516833034001</v>
      </c>
      <c r="E42" s="29" t="s">
        <v>32</v>
      </c>
      <c r="F42" s="20"/>
      <c r="G42" s="21" t="s">
        <v>6</v>
      </c>
      <c r="H42" s="21"/>
      <c r="I42" s="20"/>
      <c r="J42" s="20"/>
      <c r="K42" s="20"/>
      <c r="L42" s="21" t="s">
        <v>6</v>
      </c>
      <c r="M42" s="21"/>
      <c r="N42" s="20"/>
      <c r="O42" s="20"/>
      <c r="P42" s="20"/>
      <c r="Q42" s="21" t="s">
        <v>6</v>
      </c>
      <c r="R42" s="21"/>
      <c r="S42" s="20"/>
      <c r="T42" s="5"/>
      <c r="V42" s="68">
        <v>0.94295297650775478</v>
      </c>
      <c r="W42" s="68">
        <v>1.0570470234922451</v>
      </c>
      <c r="X42" t="s">
        <v>32</v>
      </c>
    </row>
    <row r="43" spans="1:24" x14ac:dyDescent="0.25">
      <c r="A43" s="21"/>
      <c r="B43" s="22" t="s">
        <v>7</v>
      </c>
      <c r="C43" s="18">
        <f>AVERAGE(C40:D42)</f>
        <v>91.577589554932743</v>
      </c>
      <c r="D43" s="20"/>
      <c r="E43" s="20"/>
      <c r="F43" s="20"/>
      <c r="G43" s="22" t="s">
        <v>7</v>
      </c>
      <c r="H43" s="18" t="e">
        <f>AVERAGE(H40:I42)</f>
        <v>#DIV/0!</v>
      </c>
      <c r="I43" s="20"/>
      <c r="J43" s="20"/>
      <c r="K43" s="20"/>
      <c r="L43" s="22" t="s">
        <v>7</v>
      </c>
      <c r="M43" s="18" t="e">
        <f>AVERAGE(M40:N42)</f>
        <v>#DIV/0!</v>
      </c>
      <c r="N43" s="20"/>
      <c r="O43" s="20"/>
      <c r="P43" s="20"/>
      <c r="Q43" s="22" t="s">
        <v>7</v>
      </c>
      <c r="R43" s="18" t="e">
        <f>AVERAGE(R40:S42)</f>
        <v>#DIV/0!</v>
      </c>
      <c r="S43" s="20"/>
    </row>
    <row r="44" spans="1:24" x14ac:dyDescent="0.25">
      <c r="A44" s="21"/>
      <c r="B44" s="21" t="s">
        <v>8</v>
      </c>
      <c r="C44" s="18">
        <f>STDEV(C40:D42)</f>
        <v>16.787490460878466</v>
      </c>
      <c r="D44" s="20"/>
      <c r="E44" s="20"/>
      <c r="F44" s="20"/>
      <c r="G44" s="21" t="s">
        <v>8</v>
      </c>
      <c r="H44" s="18" t="e">
        <f>STDEV(H40:I42)</f>
        <v>#DIV/0!</v>
      </c>
      <c r="I44" s="20"/>
      <c r="J44" s="20"/>
      <c r="K44" s="20"/>
      <c r="L44" s="21" t="s">
        <v>8</v>
      </c>
      <c r="M44" s="18" t="e">
        <f>STDEV(M40:N42)</f>
        <v>#DIV/0!</v>
      </c>
      <c r="N44" s="20"/>
      <c r="O44" s="20"/>
      <c r="P44" s="20"/>
      <c r="Q44" s="21" t="s">
        <v>8</v>
      </c>
      <c r="R44" s="18" t="e">
        <f>STDEV(R40:S42)</f>
        <v>#DIV/0!</v>
      </c>
      <c r="S44" s="20"/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44"/>
  <sheetViews>
    <sheetView topLeftCell="A7" workbookViewId="0">
      <selection activeCell="X40" sqref="W40:X42"/>
    </sheetView>
  </sheetViews>
  <sheetFormatPr defaultRowHeight="15" x14ac:dyDescent="0.25"/>
  <cols>
    <col min="5" max="5" width="9.7109375" bestFit="1" customWidth="1"/>
    <col min="23" max="23" width="9.28515625" bestFit="1" customWidth="1"/>
    <col min="24" max="24" width="10.140625" bestFit="1" customWidth="1"/>
  </cols>
  <sheetData>
    <row r="1" spans="1:25" s="2" customFormat="1" ht="20.25" thickBot="1" x14ac:dyDescent="0.35">
      <c r="A1" s="1" t="s">
        <v>16</v>
      </c>
    </row>
    <row r="2" spans="1:25" ht="15.75" thickTop="1" x14ac:dyDescent="0.25">
      <c r="C2">
        <v>20</v>
      </c>
      <c r="D2" t="s">
        <v>1</v>
      </c>
      <c r="E2" t="s">
        <v>2</v>
      </c>
      <c r="H2">
        <v>10</v>
      </c>
      <c r="I2" t="s">
        <v>1</v>
      </c>
      <c r="J2" t="s">
        <v>2</v>
      </c>
      <c r="M2">
        <v>1</v>
      </c>
      <c r="N2" t="s">
        <v>1</v>
      </c>
      <c r="O2" t="s">
        <v>2</v>
      </c>
      <c r="R2">
        <v>0.1</v>
      </c>
      <c r="S2" t="s">
        <v>1</v>
      </c>
      <c r="T2" t="s">
        <v>2</v>
      </c>
      <c r="W2" t="s">
        <v>34</v>
      </c>
      <c r="Y2" t="s">
        <v>2</v>
      </c>
    </row>
    <row r="3" spans="1:25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J3" s="9"/>
      <c r="K3" s="9"/>
      <c r="L3" s="9"/>
      <c r="M3" s="9" t="s">
        <v>10</v>
      </c>
      <c r="N3" s="9" t="s">
        <v>11</v>
      </c>
      <c r="O3" s="9"/>
      <c r="P3" s="9"/>
      <c r="Q3" s="9"/>
      <c r="R3" s="9" t="s">
        <v>10</v>
      </c>
      <c r="S3" s="9" t="s">
        <v>11</v>
      </c>
      <c r="W3" s="9" t="s">
        <v>10</v>
      </c>
      <c r="X3" s="9" t="s">
        <v>11</v>
      </c>
    </row>
    <row r="4" spans="1:25" x14ac:dyDescent="0.25">
      <c r="A4" s="71" t="s">
        <v>12</v>
      </c>
      <c r="B4" s="3" t="s">
        <v>4</v>
      </c>
      <c r="C4">
        <v>0.95376011850026188</v>
      </c>
      <c r="D4">
        <v>0.99967146219486069</v>
      </c>
      <c r="E4" s="12">
        <v>45446</v>
      </c>
      <c r="G4" s="3" t="s">
        <v>4</v>
      </c>
      <c r="H4">
        <v>1.0833441910332098</v>
      </c>
      <c r="I4">
        <v>1.014069274669787</v>
      </c>
      <c r="J4" s="12">
        <v>45446</v>
      </c>
      <c r="L4" s="3" t="s">
        <v>4</v>
      </c>
      <c r="M4">
        <v>1.1035786576855673</v>
      </c>
      <c r="N4">
        <v>1.2786211842499107</v>
      </c>
      <c r="O4" s="12">
        <v>45446</v>
      </c>
      <c r="Q4" s="3" t="s">
        <v>4</v>
      </c>
      <c r="R4">
        <v>1.0529690677450783</v>
      </c>
      <c r="S4">
        <v>1.0473339716284658</v>
      </c>
      <c r="T4" s="12">
        <v>45446</v>
      </c>
      <c r="W4" s="70">
        <v>0.97427427535839484</v>
      </c>
      <c r="X4" s="70">
        <v>1.0257257246416052</v>
      </c>
      <c r="Y4" s="5">
        <v>45446</v>
      </c>
    </row>
    <row r="5" spans="1:25" x14ac:dyDescent="0.25">
      <c r="A5" s="71"/>
      <c r="B5" s="3" t="s">
        <v>5</v>
      </c>
      <c r="C5">
        <v>0.77741706620099615</v>
      </c>
      <c r="D5">
        <v>0.8304327294553614</v>
      </c>
      <c r="E5" s="5" t="s">
        <v>14</v>
      </c>
      <c r="G5" s="3" t="s">
        <v>5</v>
      </c>
      <c r="H5">
        <v>0.80154902720928911</v>
      </c>
      <c r="I5">
        <v>0.92004946692260614</v>
      </c>
      <c r="J5" s="5" t="s">
        <v>14</v>
      </c>
      <c r="L5" s="3" t="s">
        <v>5</v>
      </c>
      <c r="M5">
        <v>1.1239710277323334</v>
      </c>
      <c r="N5">
        <v>1.0272341858699094</v>
      </c>
      <c r="O5" s="5" t="s">
        <v>14</v>
      </c>
      <c r="Q5" s="3" t="s">
        <v>5</v>
      </c>
      <c r="R5">
        <v>1.1069308103212194</v>
      </c>
      <c r="S5">
        <v>1.0447362169894758</v>
      </c>
      <c r="T5" s="5" t="s">
        <v>14</v>
      </c>
      <c r="W5" s="70">
        <v>0.98600854607209376</v>
      </c>
      <c r="X5" s="70">
        <v>1.0139914539279062</v>
      </c>
      <c r="Y5" s="5" t="s">
        <v>14</v>
      </c>
    </row>
    <row r="6" spans="1:25" x14ac:dyDescent="0.25">
      <c r="A6" s="71"/>
      <c r="B6" s="3" t="s">
        <v>6</v>
      </c>
      <c r="C6">
        <v>0.99665946594636201</v>
      </c>
      <c r="D6">
        <v>0.99992891080470103</v>
      </c>
      <c r="E6" t="s">
        <v>32</v>
      </c>
      <c r="G6" s="3" t="s">
        <v>6</v>
      </c>
      <c r="H6">
        <v>0.96187327187156946</v>
      </c>
      <c r="I6">
        <v>1.0625387160716566</v>
      </c>
      <c r="J6" t="s">
        <v>32</v>
      </c>
      <c r="L6" s="3" t="s">
        <v>6</v>
      </c>
      <c r="M6" s="8">
        <v>1.2153439374392661</v>
      </c>
      <c r="N6" s="8">
        <v>1.2549664035461809</v>
      </c>
      <c r="O6" t="s">
        <v>32</v>
      </c>
      <c r="Q6" s="3" t="s">
        <v>6</v>
      </c>
      <c r="R6">
        <v>1.134796398772651</v>
      </c>
      <c r="S6">
        <v>1.2251924836163879</v>
      </c>
      <c r="T6" t="s">
        <v>32</v>
      </c>
      <c r="W6" s="70">
        <v>0.97632042576223821</v>
      </c>
      <c r="X6" s="70">
        <v>1.0236795742377618</v>
      </c>
      <c r="Y6" t="s">
        <v>32</v>
      </c>
    </row>
    <row r="7" spans="1:25" x14ac:dyDescent="0.25">
      <c r="A7" s="3"/>
      <c r="B7" s="6" t="s">
        <v>7</v>
      </c>
      <c r="C7" s="8">
        <f>AVERAGE(C4:D6)</f>
        <v>0.92631162551709056</v>
      </c>
      <c r="G7" s="6" t="s">
        <v>7</v>
      </c>
      <c r="H7" s="8">
        <f>AVERAGE(H4:I6)</f>
        <v>0.97390399129635308</v>
      </c>
      <c r="L7" s="6" t="s">
        <v>7</v>
      </c>
      <c r="M7" s="8">
        <f>AVERAGE(M4:N6)</f>
        <v>1.167285899420528</v>
      </c>
      <c r="Q7" s="6" t="s">
        <v>7</v>
      </c>
      <c r="R7" s="8">
        <f>AVERAGE(R4:S6)</f>
        <v>1.1019931581788796</v>
      </c>
    </row>
    <row r="8" spans="1:25" x14ac:dyDescent="0.25">
      <c r="A8" s="3"/>
      <c r="B8" s="3" t="s">
        <v>8</v>
      </c>
      <c r="C8" s="10">
        <f>STDEV(C4:D6)</f>
        <v>9.7842486941579529E-2</v>
      </c>
      <c r="G8" s="3" t="s">
        <v>8</v>
      </c>
      <c r="H8" s="10">
        <f>STDEV(H4:I6)</f>
        <v>0.10411321087523775</v>
      </c>
      <c r="L8" s="3" t="s">
        <v>8</v>
      </c>
      <c r="M8" s="10">
        <f>STDEV(M4:N6)</f>
        <v>9.7920646134801295E-2</v>
      </c>
      <c r="Q8" s="3" t="s">
        <v>8</v>
      </c>
      <c r="R8" s="10">
        <f>STDEV(R4:S6)</f>
        <v>7.0636891525561907E-2</v>
      </c>
    </row>
    <row r="9" spans="1:25" x14ac:dyDescent="0.25">
      <c r="A9" s="3"/>
      <c r="B9" s="3"/>
      <c r="C9" s="7"/>
      <c r="E9" s="9"/>
      <c r="G9" s="3"/>
      <c r="H9" s="7"/>
      <c r="J9" s="9"/>
      <c r="L9" s="3"/>
      <c r="M9" s="7"/>
      <c r="O9" s="9"/>
      <c r="Q9" s="3"/>
      <c r="R9" s="7"/>
    </row>
    <row r="10" spans="1:25" x14ac:dyDescent="0.25">
      <c r="A10" s="6" t="s">
        <v>3</v>
      </c>
      <c r="B10" s="9"/>
      <c r="C10" s="9" t="s">
        <v>10</v>
      </c>
      <c r="D10" s="9" t="s">
        <v>11</v>
      </c>
      <c r="E10" s="4"/>
      <c r="F10" s="9"/>
      <c r="G10" s="9"/>
      <c r="H10" s="9" t="s">
        <v>10</v>
      </c>
      <c r="I10" s="9" t="s">
        <v>11</v>
      </c>
      <c r="J10" s="4"/>
      <c r="K10" s="9"/>
      <c r="L10" s="9"/>
      <c r="M10" s="9" t="s">
        <v>10</v>
      </c>
      <c r="N10" s="9" t="s">
        <v>11</v>
      </c>
      <c r="O10" s="4"/>
      <c r="P10" s="9"/>
      <c r="Q10" s="9"/>
      <c r="R10" s="9" t="s">
        <v>10</v>
      </c>
      <c r="S10" s="9" t="s">
        <v>11</v>
      </c>
      <c r="T10" s="4"/>
    </row>
    <row r="11" spans="1:25" x14ac:dyDescent="0.25">
      <c r="A11" s="71" t="s">
        <v>13</v>
      </c>
      <c r="B11" s="3" t="s">
        <v>4</v>
      </c>
      <c r="C11">
        <v>0.91092812558816338</v>
      </c>
      <c r="D11">
        <v>1.0733157174302088</v>
      </c>
      <c r="E11" s="12">
        <v>45446</v>
      </c>
      <c r="G11" s="3" t="s">
        <v>4</v>
      </c>
      <c r="H11">
        <v>0.93067136977087861</v>
      </c>
      <c r="I11">
        <v>1.0041757620808045</v>
      </c>
      <c r="J11" s="12">
        <v>45446</v>
      </c>
      <c r="L11" s="3" t="s">
        <v>4</v>
      </c>
      <c r="M11">
        <v>0.88860511246356411</v>
      </c>
      <c r="N11">
        <v>0.94142384203025653</v>
      </c>
      <c r="O11" s="12">
        <v>45446</v>
      </c>
      <c r="Q11" s="3" t="s">
        <v>4</v>
      </c>
      <c r="R11">
        <v>0.86269600855348127</v>
      </c>
      <c r="S11">
        <v>0.97666865225881638</v>
      </c>
      <c r="T11" s="12">
        <v>45446</v>
      </c>
      <c r="W11" s="68">
        <v>0.91248810427604488</v>
      </c>
      <c r="X11" s="68">
        <v>1.0875118957239549</v>
      </c>
      <c r="Y11" s="5">
        <v>45446</v>
      </c>
    </row>
    <row r="12" spans="1:25" x14ac:dyDescent="0.25">
      <c r="A12" s="71"/>
      <c r="B12" s="3" t="s">
        <v>5</v>
      </c>
      <c r="C12">
        <v>1.1186913230478659</v>
      </c>
      <c r="D12">
        <v>1.0339965823024655</v>
      </c>
      <c r="E12" s="5" t="s">
        <v>14</v>
      </c>
      <c r="G12" s="3" t="s">
        <v>5</v>
      </c>
      <c r="H12">
        <v>1.2265588535646916</v>
      </c>
      <c r="I12">
        <v>1.379740563669752</v>
      </c>
      <c r="J12" s="5" t="s">
        <v>14</v>
      </c>
      <c r="L12" s="3" t="s">
        <v>5</v>
      </c>
      <c r="M12">
        <v>1.256505106986137</v>
      </c>
      <c r="N12">
        <v>1.3801836937795866</v>
      </c>
      <c r="O12" s="5" t="s">
        <v>14</v>
      </c>
      <c r="Q12" s="3" t="s">
        <v>5</v>
      </c>
      <c r="R12">
        <v>0.98107156086010205</v>
      </c>
      <c r="S12">
        <v>0.79309195811120803</v>
      </c>
      <c r="T12" s="5" t="s">
        <v>14</v>
      </c>
      <c r="W12" s="68">
        <v>0.92514994271851203</v>
      </c>
      <c r="X12" s="68">
        <v>1.0748500572814881</v>
      </c>
      <c r="Y12" s="5" t="s">
        <v>14</v>
      </c>
    </row>
    <row r="13" spans="1:25" x14ac:dyDescent="0.25">
      <c r="A13" s="71"/>
      <c r="B13" s="3" t="s">
        <v>6</v>
      </c>
      <c r="C13">
        <v>0.90772381979432948</v>
      </c>
      <c r="D13">
        <v>0.84087776426733163</v>
      </c>
      <c r="E13" t="s">
        <v>32</v>
      </c>
      <c r="G13" s="3" t="s">
        <v>6</v>
      </c>
      <c r="H13">
        <v>0.75647743291932534</v>
      </c>
      <c r="I13">
        <v>0.89782788111656731</v>
      </c>
      <c r="J13" t="s">
        <v>32</v>
      </c>
      <c r="L13" s="3" t="s">
        <v>6</v>
      </c>
      <c r="M13" s="8">
        <v>1.1089745801209763</v>
      </c>
      <c r="N13" s="8">
        <v>0.9364314376104601</v>
      </c>
      <c r="O13" t="s">
        <v>32</v>
      </c>
      <c r="Q13" s="3" t="s">
        <v>6</v>
      </c>
      <c r="R13">
        <v>0.91298173476781364</v>
      </c>
      <c r="S13">
        <v>1.081708574850033</v>
      </c>
      <c r="T13" t="s">
        <v>32</v>
      </c>
      <c r="W13" s="68">
        <v>1.0640014130946773</v>
      </c>
      <c r="X13" s="68">
        <v>0.93599858690532267</v>
      </c>
      <c r="Y13" t="s">
        <v>32</v>
      </c>
    </row>
    <row r="14" spans="1:25" x14ac:dyDescent="0.25">
      <c r="A14" s="3"/>
      <c r="B14" s="6" t="s">
        <v>7</v>
      </c>
      <c r="C14" s="8">
        <f>AVERAGE(C11:D13)</f>
        <v>0.98092222207172741</v>
      </c>
      <c r="G14" s="6" t="s">
        <v>7</v>
      </c>
      <c r="H14" s="8">
        <f>AVERAGE(H11:I13)</f>
        <v>1.0325753105203366</v>
      </c>
      <c r="L14" s="6" t="s">
        <v>7</v>
      </c>
      <c r="M14" s="8">
        <f>AVERAGE(M11:N13)</f>
        <v>1.0853539621651633</v>
      </c>
      <c r="Q14" s="6" t="s">
        <v>7</v>
      </c>
      <c r="R14" s="8">
        <f>AVERAGE(R11:S13)</f>
        <v>0.93470308156690907</v>
      </c>
    </row>
    <row r="15" spans="1:25" x14ac:dyDescent="0.25">
      <c r="A15" s="3"/>
      <c r="B15" s="3" t="s">
        <v>8</v>
      </c>
      <c r="C15" s="10">
        <f>STDEV(C11:D13)</f>
        <v>0.10973003297408994</v>
      </c>
      <c r="G15" s="3" t="s">
        <v>8</v>
      </c>
      <c r="H15" s="10">
        <f>STDEV(H11:I13)</f>
        <v>0.22966548857191585</v>
      </c>
      <c r="L15" s="3" t="s">
        <v>8</v>
      </c>
      <c r="M15" s="10">
        <f>STDEV(M11:N13)</f>
        <v>0.19918791442789596</v>
      </c>
      <c r="Q15" s="3" t="s">
        <v>8</v>
      </c>
      <c r="R15" s="10">
        <f>STDEV(R11:S13)</f>
        <v>0.10122480507068297</v>
      </c>
      <c r="T15" s="5"/>
    </row>
    <row r="16" spans="1:25" x14ac:dyDescent="0.25">
      <c r="A16" s="3"/>
      <c r="B16" s="3"/>
      <c r="C16" s="7"/>
      <c r="G16" s="3"/>
      <c r="H16" s="7"/>
      <c r="L16" s="3"/>
      <c r="M16" s="7"/>
      <c r="Q16" s="3"/>
      <c r="R16" s="7"/>
    </row>
    <row r="17" spans="1:25" x14ac:dyDescent="0.25">
      <c r="E17" s="9"/>
      <c r="J17" s="9"/>
      <c r="O17" s="9"/>
      <c r="T17" s="4"/>
    </row>
    <row r="18" spans="1:25" x14ac:dyDescent="0.25">
      <c r="A18" s="6" t="s">
        <v>15</v>
      </c>
      <c r="B18" s="9"/>
      <c r="C18" s="9" t="s">
        <v>10</v>
      </c>
      <c r="D18" s="9" t="s">
        <v>11</v>
      </c>
      <c r="E18" s="4"/>
      <c r="F18" s="9"/>
      <c r="G18" s="9"/>
      <c r="H18" s="9" t="s">
        <v>10</v>
      </c>
      <c r="I18" s="9" t="s">
        <v>11</v>
      </c>
      <c r="J18" s="4"/>
      <c r="K18" s="9"/>
      <c r="L18" s="9"/>
      <c r="M18" s="9" t="s">
        <v>10</v>
      </c>
      <c r="N18" s="9" t="s">
        <v>11</v>
      </c>
      <c r="O18" s="4"/>
      <c r="P18" s="9"/>
      <c r="Q18" s="9"/>
      <c r="R18" s="9" t="s">
        <v>10</v>
      </c>
      <c r="S18" s="9" t="s">
        <v>11</v>
      </c>
    </row>
    <row r="19" spans="1:25" x14ac:dyDescent="0.25">
      <c r="A19" s="71" t="s">
        <v>12</v>
      </c>
      <c r="B19" s="3" t="s">
        <v>4</v>
      </c>
      <c r="C19">
        <v>0.95560750242606296</v>
      </c>
      <c r="D19">
        <v>0.96728438430564401</v>
      </c>
      <c r="E19" s="12">
        <v>45446</v>
      </c>
      <c r="G19" s="3" t="s">
        <v>4</v>
      </c>
      <c r="H19">
        <v>0.99257278204703003</v>
      </c>
      <c r="I19">
        <v>0.97959091970457801</v>
      </c>
      <c r="J19" s="12">
        <v>45446</v>
      </c>
      <c r="L19" s="3" t="s">
        <v>4</v>
      </c>
      <c r="M19">
        <v>1.0920025103038635</v>
      </c>
      <c r="N19">
        <v>1.1474766548650477</v>
      </c>
      <c r="O19" s="12">
        <v>45446</v>
      </c>
      <c r="Q19" s="3" t="s">
        <v>4</v>
      </c>
      <c r="R19">
        <v>0.99654261368511354</v>
      </c>
      <c r="S19">
        <v>1.0098765940977641</v>
      </c>
      <c r="T19" s="12">
        <v>45446</v>
      </c>
      <c r="W19" s="68">
        <v>1.0177692871823194</v>
      </c>
      <c r="X19" s="68">
        <v>0.9822307128176806</v>
      </c>
      <c r="Y19" s="5">
        <v>45446</v>
      </c>
    </row>
    <row r="20" spans="1:25" x14ac:dyDescent="0.25">
      <c r="A20" s="71"/>
      <c r="B20" s="3" t="s">
        <v>5</v>
      </c>
      <c r="C20">
        <v>0.75401463721844664</v>
      </c>
      <c r="D20">
        <v>0.79820401249529582</v>
      </c>
      <c r="E20" s="5" t="s">
        <v>14</v>
      </c>
      <c r="G20" s="3" t="s">
        <v>5</v>
      </c>
      <c r="H20">
        <v>0.88159625270997344</v>
      </c>
      <c r="I20">
        <v>0.87911450804539903</v>
      </c>
      <c r="J20" s="5" t="s">
        <v>14</v>
      </c>
      <c r="L20" s="3" t="s">
        <v>5</v>
      </c>
      <c r="M20">
        <v>0.98702920548232254</v>
      </c>
      <c r="N20">
        <v>0.92018685868829275</v>
      </c>
      <c r="O20" s="5" t="s">
        <v>14</v>
      </c>
      <c r="Q20" s="3" t="s">
        <v>5</v>
      </c>
      <c r="R20">
        <v>0.96340079278904445</v>
      </c>
      <c r="S20">
        <v>0.97934956841135101</v>
      </c>
      <c r="T20" s="5" t="s">
        <v>14</v>
      </c>
      <c r="W20" s="68">
        <v>0.91487054106515908</v>
      </c>
      <c r="X20" s="68">
        <v>1.085129458934841</v>
      </c>
      <c r="Y20" s="5" t="s">
        <v>14</v>
      </c>
    </row>
    <row r="21" spans="1:25" x14ac:dyDescent="0.25">
      <c r="A21" s="71"/>
      <c r="B21" s="3" t="s">
        <v>6</v>
      </c>
      <c r="C21" s="3">
        <v>0.93488278236290079</v>
      </c>
      <c r="D21">
        <v>0.80177451194226546</v>
      </c>
      <c r="E21" t="s">
        <v>32</v>
      </c>
      <c r="G21" s="3" t="s">
        <v>6</v>
      </c>
      <c r="H21">
        <v>0.83993172607219346</v>
      </c>
      <c r="I21">
        <v>0.95341880057906203</v>
      </c>
      <c r="J21" t="s">
        <v>32</v>
      </c>
      <c r="L21" s="3" t="s">
        <v>6</v>
      </c>
      <c r="M21">
        <v>1.0567871489036853</v>
      </c>
      <c r="N21">
        <v>1.1759283402548055</v>
      </c>
      <c r="O21" t="s">
        <v>32</v>
      </c>
      <c r="Q21" s="3" t="s">
        <v>6</v>
      </c>
      <c r="R21">
        <v>1.1674522895425379</v>
      </c>
      <c r="S21">
        <v>1.1133323847810193</v>
      </c>
      <c r="T21" t="s">
        <v>32</v>
      </c>
      <c r="W21" s="68">
        <v>0.99227396211278651</v>
      </c>
      <c r="X21" s="68">
        <v>1.0077260378872135</v>
      </c>
      <c r="Y21" t="s">
        <v>32</v>
      </c>
    </row>
    <row r="22" spans="1:25" x14ac:dyDescent="0.25">
      <c r="A22" s="3"/>
      <c r="B22" s="6" t="s">
        <v>7</v>
      </c>
      <c r="C22" s="8">
        <f>AVERAGE(C19:D21)</f>
        <v>0.86862797179176932</v>
      </c>
      <c r="G22" s="6" t="s">
        <v>7</v>
      </c>
      <c r="H22" s="8">
        <f>AVERAGE(H19:I21)</f>
        <v>0.92103749819303926</v>
      </c>
      <c r="L22" s="6" t="s">
        <v>7</v>
      </c>
      <c r="M22" s="8">
        <f>AVERAGE(M19:N21)</f>
        <v>1.0632351197496697</v>
      </c>
      <c r="Q22" s="6" t="s">
        <v>7</v>
      </c>
      <c r="R22" s="8">
        <f>AVERAGE(R19:S21)</f>
        <v>1.0383257072178049</v>
      </c>
      <c r="W22" s="68"/>
      <c r="X22" s="68"/>
    </row>
    <row r="23" spans="1:25" x14ac:dyDescent="0.25">
      <c r="A23" s="3"/>
      <c r="B23" s="3" t="s">
        <v>8</v>
      </c>
      <c r="C23" s="10">
        <f>STDEV(C19:D21)</f>
        <v>9.4078012311212586E-2</v>
      </c>
      <c r="E23" s="5"/>
      <c r="G23" s="3" t="s">
        <v>8</v>
      </c>
      <c r="H23" s="10">
        <f>STDEV(H19:I21)</f>
        <v>6.2426987706419364E-2</v>
      </c>
      <c r="J23" s="5"/>
      <c r="L23" s="3" t="s">
        <v>8</v>
      </c>
      <c r="M23" s="10">
        <f>STDEV(M19:N21)</f>
        <v>9.6887237173684485E-2</v>
      </c>
      <c r="O23" s="5"/>
      <c r="Q23" s="3" t="s">
        <v>8</v>
      </c>
      <c r="R23" s="10">
        <f>STDEV(R19:S21)</f>
        <v>8.239755170524396E-2</v>
      </c>
      <c r="W23" s="68"/>
      <c r="X23" s="68"/>
    </row>
    <row r="24" spans="1:25" x14ac:dyDescent="0.25">
      <c r="A24" s="3"/>
      <c r="B24" s="3"/>
      <c r="E24" s="9"/>
      <c r="G24" s="3"/>
      <c r="J24" s="9"/>
      <c r="L24" s="3"/>
      <c r="M24" s="8"/>
      <c r="N24" s="8"/>
      <c r="O24" s="9"/>
      <c r="Q24" s="3"/>
      <c r="W24" s="68"/>
      <c r="X24" s="68"/>
    </row>
    <row r="25" spans="1:25" x14ac:dyDescent="0.25">
      <c r="A25" s="6" t="s">
        <v>15</v>
      </c>
      <c r="B25" s="9"/>
      <c r="C25" s="9" t="s">
        <v>10</v>
      </c>
      <c r="D25" s="9" t="s">
        <v>11</v>
      </c>
      <c r="E25" s="4"/>
      <c r="F25" s="9"/>
      <c r="G25" s="9"/>
      <c r="H25" s="9" t="s">
        <v>10</v>
      </c>
      <c r="I25" s="9" t="s">
        <v>11</v>
      </c>
      <c r="J25" s="4"/>
      <c r="K25" s="9"/>
      <c r="L25" s="9"/>
      <c r="M25" s="9" t="s">
        <v>10</v>
      </c>
      <c r="N25" s="9" t="s">
        <v>11</v>
      </c>
      <c r="O25" s="4"/>
      <c r="P25" s="9"/>
      <c r="Q25" s="9"/>
      <c r="R25" s="9" t="s">
        <v>10</v>
      </c>
      <c r="S25" s="9" t="s">
        <v>11</v>
      </c>
      <c r="W25" s="68"/>
      <c r="X25" s="68"/>
    </row>
    <row r="26" spans="1:25" x14ac:dyDescent="0.25">
      <c r="A26" s="71" t="s">
        <v>13</v>
      </c>
      <c r="B26" s="3" t="s">
        <v>4</v>
      </c>
      <c r="C26">
        <v>0.84950989594965387</v>
      </c>
      <c r="D26">
        <v>0.87959174363020443</v>
      </c>
      <c r="E26" s="12">
        <v>45446</v>
      </c>
      <c r="G26" s="3" t="s">
        <v>4</v>
      </c>
      <c r="H26">
        <v>1.071829795504001</v>
      </c>
      <c r="I26">
        <v>0.98806193771810025</v>
      </c>
      <c r="J26" s="12">
        <v>45446</v>
      </c>
      <c r="L26" s="3" t="s">
        <v>4</v>
      </c>
      <c r="M26">
        <v>0.88229264960702247</v>
      </c>
      <c r="N26">
        <v>1.089518146021762</v>
      </c>
      <c r="O26" s="12">
        <v>45446</v>
      </c>
      <c r="Q26" s="3" t="s">
        <v>4</v>
      </c>
      <c r="R26">
        <v>0.92349708132313668</v>
      </c>
      <c r="S26">
        <v>0.95746526531075193</v>
      </c>
      <c r="T26" s="12">
        <v>45446</v>
      </c>
      <c r="W26" s="68">
        <v>0.95249665946337125</v>
      </c>
      <c r="X26" s="68">
        <v>1.0475033405366285</v>
      </c>
      <c r="Y26" s="5">
        <v>45446</v>
      </c>
    </row>
    <row r="27" spans="1:25" x14ac:dyDescent="0.25">
      <c r="A27" s="71"/>
      <c r="B27" s="3" t="s">
        <v>5</v>
      </c>
      <c r="C27">
        <v>0.73035643679742845</v>
      </c>
      <c r="D27">
        <v>0.70678194043119724</v>
      </c>
      <c r="E27" s="5" t="s">
        <v>14</v>
      </c>
      <c r="G27" s="3" t="s">
        <v>5</v>
      </c>
      <c r="H27">
        <v>0.92320690914839809</v>
      </c>
      <c r="I27">
        <v>0.72989480358823078</v>
      </c>
      <c r="J27" s="5" t="s">
        <v>14</v>
      </c>
      <c r="L27" s="3" t="s">
        <v>5</v>
      </c>
      <c r="M27">
        <v>0.9912462796604633</v>
      </c>
      <c r="N27">
        <v>0.88107142895382939</v>
      </c>
      <c r="O27" s="5" t="s">
        <v>14</v>
      </c>
      <c r="Q27" s="3" t="s">
        <v>5</v>
      </c>
      <c r="R27">
        <v>0.66842364290152922</v>
      </c>
      <c r="S27">
        <v>0.62572654438936981</v>
      </c>
      <c r="T27" s="5" t="s">
        <v>14</v>
      </c>
      <c r="W27" s="68">
        <v>0.96991181945608407</v>
      </c>
      <c r="X27" s="68">
        <v>1.0300881805439159</v>
      </c>
      <c r="Y27" s="5" t="s">
        <v>14</v>
      </c>
    </row>
    <row r="28" spans="1:25" x14ac:dyDescent="0.25">
      <c r="A28" s="71"/>
      <c r="B28" s="3" t="s">
        <v>6</v>
      </c>
      <c r="C28" s="3">
        <v>0.91882936271791915</v>
      </c>
      <c r="D28">
        <v>1.0524136955049919</v>
      </c>
      <c r="E28" t="s">
        <v>32</v>
      </c>
      <c r="G28" s="3" t="s">
        <v>6</v>
      </c>
      <c r="H28" s="3">
        <v>0.80664910414776481</v>
      </c>
      <c r="I28">
        <v>1.0692169664080629</v>
      </c>
      <c r="J28" t="s">
        <v>32</v>
      </c>
      <c r="L28" s="3" t="s">
        <v>6</v>
      </c>
      <c r="M28" s="3">
        <v>1.0632903201059405</v>
      </c>
      <c r="N28">
        <v>1.1211976454954622</v>
      </c>
      <c r="O28" t="s">
        <v>32</v>
      </c>
      <c r="Q28" s="3" t="s">
        <v>6</v>
      </c>
      <c r="R28" s="3">
        <v>1.12927232431613</v>
      </c>
      <c r="S28">
        <v>1.2513354596436461</v>
      </c>
      <c r="T28" t="s">
        <v>32</v>
      </c>
      <c r="W28" s="68">
        <v>0.92677860191230854</v>
      </c>
      <c r="X28" s="68">
        <v>1.0732213980876915</v>
      </c>
      <c r="Y28" t="s">
        <v>32</v>
      </c>
    </row>
    <row r="29" spans="1:25" x14ac:dyDescent="0.25">
      <c r="A29" s="3"/>
      <c r="B29" s="6" t="s">
        <v>7</v>
      </c>
      <c r="C29" s="8">
        <f>AVERAGE(C26:D28)</f>
        <v>0.85624717917189919</v>
      </c>
      <c r="G29" s="6" t="s">
        <v>7</v>
      </c>
      <c r="H29" s="8">
        <f>AVERAGE(H26:I28)</f>
        <v>0.93147658608575956</v>
      </c>
      <c r="L29" s="6" t="s">
        <v>7</v>
      </c>
      <c r="M29" s="8">
        <f>AVERAGE(M26:N28)</f>
        <v>1.0047694116407466</v>
      </c>
      <c r="Q29" s="6" t="s">
        <v>7</v>
      </c>
      <c r="R29" s="8">
        <f>AVERAGE(R26:S28)</f>
        <v>0.92595338631409385</v>
      </c>
    </row>
    <row r="30" spans="1:25" x14ac:dyDescent="0.25">
      <c r="A30" s="3"/>
      <c r="B30" s="3" t="s">
        <v>8</v>
      </c>
      <c r="C30" s="10">
        <f>STDEV(C26:D28)</f>
        <v>0.1274178387118729</v>
      </c>
      <c r="G30" s="3" t="s">
        <v>8</v>
      </c>
      <c r="H30" s="10">
        <f>STDEV(H26:I28)</f>
        <v>0.14011341165156183</v>
      </c>
      <c r="L30" s="3" t="s">
        <v>8</v>
      </c>
      <c r="M30" s="10">
        <f>STDEV(M26:N28)</f>
        <v>0.10454396357794969</v>
      </c>
      <c r="Q30" s="3" t="s">
        <v>8</v>
      </c>
      <c r="R30" s="10">
        <f>STDEV(R26:S28)</f>
        <v>0.24684766213227893</v>
      </c>
    </row>
    <row r="31" spans="1:25" x14ac:dyDescent="0.25">
      <c r="E31" s="9"/>
      <c r="J31" s="9"/>
      <c r="O31" s="9"/>
    </row>
    <row r="32" spans="1:25" x14ac:dyDescent="0.25">
      <c r="A32" s="6" t="s">
        <v>9</v>
      </c>
      <c r="B32" s="9"/>
      <c r="C32" s="9" t="s">
        <v>10</v>
      </c>
      <c r="D32" s="9" t="s">
        <v>11</v>
      </c>
      <c r="E32" s="4"/>
      <c r="F32" s="9"/>
      <c r="G32" s="9"/>
      <c r="H32" s="9" t="s">
        <v>10</v>
      </c>
      <c r="I32" s="9" t="s">
        <v>11</v>
      </c>
      <c r="J32" s="4"/>
      <c r="K32" s="9"/>
      <c r="L32" s="9"/>
      <c r="M32" s="9" t="s">
        <v>10</v>
      </c>
      <c r="N32" s="9" t="s">
        <v>11</v>
      </c>
      <c r="O32" s="4"/>
      <c r="P32" s="9"/>
      <c r="Q32" s="9"/>
      <c r="R32" s="9" t="s">
        <v>10</v>
      </c>
      <c r="S32" s="9" t="s">
        <v>11</v>
      </c>
    </row>
    <row r="33" spans="1:25" x14ac:dyDescent="0.25">
      <c r="A33" s="71" t="s">
        <v>12</v>
      </c>
      <c r="B33" s="3" t="s">
        <v>4</v>
      </c>
      <c r="C33">
        <v>0.87979886308127275</v>
      </c>
      <c r="D33">
        <v>1.0622725427035076</v>
      </c>
      <c r="E33" s="12">
        <v>45446</v>
      </c>
      <c r="G33" s="3" t="s">
        <v>4</v>
      </c>
      <c r="H33">
        <v>0.92911103706474341</v>
      </c>
      <c r="I33">
        <v>1.0949166458555455</v>
      </c>
      <c r="J33" s="12">
        <v>45446</v>
      </c>
      <c r="L33" s="3" t="s">
        <v>4</v>
      </c>
      <c r="M33">
        <v>1.1186775852672799</v>
      </c>
      <c r="N33">
        <v>1.1689415121909852</v>
      </c>
      <c r="O33" s="12">
        <v>45446</v>
      </c>
      <c r="Q33" s="3" t="s">
        <v>4</v>
      </c>
      <c r="R33">
        <v>1.1005452879097011</v>
      </c>
      <c r="S33">
        <v>1.1267414448353359</v>
      </c>
      <c r="T33" s="12">
        <v>45446</v>
      </c>
      <c r="W33" s="68">
        <v>1.0282035732611841</v>
      </c>
      <c r="X33" s="68">
        <v>0.97179642673881605</v>
      </c>
      <c r="Y33" s="5">
        <v>45446</v>
      </c>
    </row>
    <row r="34" spans="1:25" x14ac:dyDescent="0.25">
      <c r="A34" s="71"/>
      <c r="B34" s="3" t="s">
        <v>5</v>
      </c>
      <c r="C34">
        <v>0.92643999181212477</v>
      </c>
      <c r="D34">
        <v>0.83219140472134745</v>
      </c>
      <c r="E34" s="5" t="s">
        <v>14</v>
      </c>
      <c r="G34" s="3" t="s">
        <v>5</v>
      </c>
      <c r="H34">
        <v>0.9421476614846771</v>
      </c>
      <c r="I34">
        <v>0.94437396274220875</v>
      </c>
      <c r="J34" s="5" t="s">
        <v>14</v>
      </c>
      <c r="L34" s="3" t="s">
        <v>5</v>
      </c>
      <c r="M34">
        <v>0.95778940589215023</v>
      </c>
      <c r="N34">
        <v>1.1652750950656139</v>
      </c>
      <c r="O34" s="5" t="s">
        <v>14</v>
      </c>
      <c r="Q34" s="3" t="s">
        <v>5</v>
      </c>
      <c r="R34">
        <v>1.0923626047465</v>
      </c>
      <c r="S34">
        <v>1.0345424713368527</v>
      </c>
      <c r="T34" s="5" t="s">
        <v>14</v>
      </c>
      <c r="W34" s="68">
        <v>0.98040359834670554</v>
      </c>
      <c r="X34" s="68">
        <v>1.0195964016532946</v>
      </c>
      <c r="Y34" s="5" t="s">
        <v>14</v>
      </c>
    </row>
    <row r="35" spans="1:25" x14ac:dyDescent="0.25">
      <c r="A35" s="71"/>
      <c r="B35" s="3" t="s">
        <v>6</v>
      </c>
      <c r="C35" s="3">
        <v>0.85715702171445185</v>
      </c>
      <c r="D35">
        <v>0.94654159548800476</v>
      </c>
      <c r="E35" t="s">
        <v>32</v>
      </c>
      <c r="G35" s="3" t="s">
        <v>6</v>
      </c>
      <c r="H35" s="3">
        <v>0.88387221396633742</v>
      </c>
      <c r="I35">
        <v>0.953959723204445</v>
      </c>
      <c r="J35" t="s">
        <v>32</v>
      </c>
      <c r="L35" s="3" t="s">
        <v>6</v>
      </c>
      <c r="M35" s="3">
        <v>1.1757766814936146</v>
      </c>
      <c r="N35">
        <v>1.0047956721922802</v>
      </c>
      <c r="O35" t="s">
        <v>32</v>
      </c>
      <c r="Q35" s="3" t="s">
        <v>6</v>
      </c>
      <c r="R35" s="3">
        <v>0.93959579838560547</v>
      </c>
      <c r="S35">
        <v>1.2877020097520715</v>
      </c>
      <c r="T35" t="s">
        <v>32</v>
      </c>
      <c r="W35" s="68">
        <v>0.90350248565318236</v>
      </c>
      <c r="X35" s="68">
        <v>1.0964975143468179</v>
      </c>
      <c r="Y35" t="s">
        <v>32</v>
      </c>
    </row>
    <row r="36" spans="1:25" x14ac:dyDescent="0.25">
      <c r="A36" s="3"/>
      <c r="B36" s="6" t="s">
        <v>7</v>
      </c>
      <c r="C36" s="8">
        <f>AVERAGE(C33:D35)</f>
        <v>0.91740023658678471</v>
      </c>
      <c r="G36" s="6" t="s">
        <v>7</v>
      </c>
      <c r="H36" s="8">
        <f>AVERAGE(H33:I35)</f>
        <v>0.95806354071965949</v>
      </c>
      <c r="L36" s="6" t="s">
        <v>7</v>
      </c>
      <c r="M36" s="8">
        <f>AVERAGE(M33:N35)</f>
        <v>1.0985426586836537</v>
      </c>
      <c r="Q36" s="6" t="s">
        <v>7</v>
      </c>
      <c r="R36" s="8">
        <f>AVERAGE(R33:S35)</f>
        <v>1.0969149361610111</v>
      </c>
      <c r="W36" s="68"/>
      <c r="X36" s="68"/>
    </row>
    <row r="37" spans="1:25" x14ac:dyDescent="0.25">
      <c r="A37" s="3"/>
      <c r="B37" s="3" t="s">
        <v>8</v>
      </c>
      <c r="C37" s="10">
        <f>STDEV(C33:D35)</f>
        <v>8.2731583217352592E-2</v>
      </c>
      <c r="E37" s="5"/>
      <c r="G37" s="3" t="s">
        <v>8</v>
      </c>
      <c r="H37" s="10">
        <f>STDEV(H33:I35)</f>
        <v>7.1454788354401319E-2</v>
      </c>
      <c r="J37" s="5"/>
      <c r="L37" s="3" t="s">
        <v>8</v>
      </c>
      <c r="M37" s="10">
        <f>STDEV(M33:N35)</f>
        <v>9.4212209225937704E-2</v>
      </c>
      <c r="O37" s="5"/>
      <c r="Q37" s="3" t="s">
        <v>8</v>
      </c>
      <c r="R37" s="10">
        <f>STDEV(R33:S35)</f>
        <v>0.11485892801424273</v>
      </c>
      <c r="W37" s="68"/>
      <c r="X37" s="68"/>
    </row>
    <row r="38" spans="1:25" x14ac:dyDescent="0.25">
      <c r="A38" s="3"/>
      <c r="B38" s="3"/>
      <c r="C38" s="3"/>
      <c r="E38" s="9"/>
      <c r="G38" s="3"/>
      <c r="H38" s="3"/>
      <c r="J38" s="9"/>
      <c r="L38" s="3"/>
      <c r="M38" s="3"/>
      <c r="O38" s="9"/>
      <c r="Q38" s="3"/>
      <c r="R38" s="3"/>
      <c r="W38" s="68"/>
      <c r="X38" s="68"/>
    </row>
    <row r="39" spans="1:25" x14ac:dyDescent="0.25">
      <c r="A39" s="6" t="s">
        <v>9</v>
      </c>
      <c r="B39" s="9"/>
      <c r="C39" s="9" t="s">
        <v>10</v>
      </c>
      <c r="D39" s="9" t="s">
        <v>11</v>
      </c>
      <c r="E39" s="4"/>
      <c r="F39" s="9"/>
      <c r="G39" s="9"/>
      <c r="H39" s="9" t="s">
        <v>10</v>
      </c>
      <c r="I39" s="9" t="s">
        <v>11</v>
      </c>
      <c r="J39" s="4"/>
      <c r="K39" s="9"/>
      <c r="L39" s="9"/>
      <c r="M39" s="9" t="s">
        <v>10</v>
      </c>
      <c r="N39" s="9" t="s">
        <v>11</v>
      </c>
      <c r="O39" s="4"/>
      <c r="P39" s="9"/>
      <c r="Q39" s="9"/>
      <c r="R39" s="9" t="s">
        <v>10</v>
      </c>
      <c r="S39" s="9" t="s">
        <v>11</v>
      </c>
      <c r="W39" s="68"/>
      <c r="X39" s="68"/>
    </row>
    <row r="40" spans="1:25" x14ac:dyDescent="0.25">
      <c r="A40" s="71" t="s">
        <v>13</v>
      </c>
      <c r="B40" s="3" t="s">
        <v>4</v>
      </c>
      <c r="C40">
        <v>0.74502583201863337</v>
      </c>
      <c r="D40">
        <v>0.9579250833297509</v>
      </c>
      <c r="E40" s="12">
        <v>45446</v>
      </c>
      <c r="G40" s="3" t="s">
        <v>4</v>
      </c>
      <c r="H40">
        <v>0.90596650104900522</v>
      </c>
      <c r="I40">
        <v>0.88008894381055158</v>
      </c>
      <c r="J40" s="12">
        <v>45446</v>
      </c>
      <c r="L40" s="3" t="s">
        <v>4</v>
      </c>
      <c r="M40">
        <v>0.87918013961021857</v>
      </c>
      <c r="N40">
        <v>0.8741472709830499</v>
      </c>
      <c r="O40" s="12">
        <v>45446</v>
      </c>
      <c r="Q40" s="3" t="s">
        <v>4</v>
      </c>
      <c r="R40">
        <v>0.88978725550559445</v>
      </c>
      <c r="S40">
        <v>0.88633579214056102</v>
      </c>
      <c r="T40" s="12">
        <v>45446</v>
      </c>
      <c r="W40" s="68">
        <v>0.93461172753686872</v>
      </c>
      <c r="X40" s="68">
        <v>1.0653882724631314</v>
      </c>
      <c r="Y40" s="5">
        <v>45446</v>
      </c>
    </row>
    <row r="41" spans="1:25" x14ac:dyDescent="0.25">
      <c r="A41" s="71"/>
      <c r="B41" s="3" t="s">
        <v>5</v>
      </c>
      <c r="C41">
        <v>0.99243565088231056</v>
      </c>
      <c r="D41">
        <v>1.0212707204142215</v>
      </c>
      <c r="E41" s="5" t="s">
        <v>14</v>
      </c>
      <c r="G41" s="3" t="s">
        <v>5</v>
      </c>
      <c r="H41">
        <v>1.1966534756358569</v>
      </c>
      <c r="I41">
        <v>1.1906472657554694</v>
      </c>
      <c r="J41" s="5" t="s">
        <v>14</v>
      </c>
      <c r="L41" s="3" t="s">
        <v>5</v>
      </c>
      <c r="M41">
        <v>1.2185628756586646</v>
      </c>
      <c r="N41">
        <v>1.1598854191194075</v>
      </c>
      <c r="O41" s="5" t="s">
        <v>14</v>
      </c>
      <c r="Q41" s="3" t="s">
        <v>5</v>
      </c>
      <c r="R41">
        <v>0.91069709933253595</v>
      </c>
      <c r="S41">
        <v>0.87566111715296957</v>
      </c>
      <c r="T41" s="5" t="s">
        <v>14</v>
      </c>
      <c r="W41" s="68">
        <v>0.96767899942503122</v>
      </c>
      <c r="X41" s="68">
        <v>1.032321000574969</v>
      </c>
      <c r="Y41" s="5" t="s">
        <v>14</v>
      </c>
    </row>
    <row r="42" spans="1:25" x14ac:dyDescent="0.25">
      <c r="A42" s="71"/>
      <c r="B42" s="3" t="s">
        <v>6</v>
      </c>
      <c r="C42" s="3">
        <v>0.80499624320661189</v>
      </c>
      <c r="D42">
        <v>0.80491317683129393</v>
      </c>
      <c r="E42" t="s">
        <v>32</v>
      </c>
      <c r="G42" s="3" t="s">
        <v>6</v>
      </c>
      <c r="H42" s="3">
        <v>0.77466093662552582</v>
      </c>
      <c r="I42">
        <v>0.91761603602930875</v>
      </c>
      <c r="J42" t="s">
        <v>32</v>
      </c>
      <c r="L42" s="3" t="s">
        <v>6</v>
      </c>
      <c r="M42" s="3">
        <v>0.85109393012178258</v>
      </c>
      <c r="N42">
        <v>0.92847866804485424</v>
      </c>
      <c r="O42" t="s">
        <v>32</v>
      </c>
      <c r="Q42" s="3" t="s">
        <v>6</v>
      </c>
      <c r="R42" s="3">
        <v>0.8582466275723265</v>
      </c>
      <c r="S42">
        <v>0.94414144035815017</v>
      </c>
      <c r="T42" t="s">
        <v>32</v>
      </c>
      <c r="W42" s="68">
        <v>0.94295297650775478</v>
      </c>
      <c r="X42" s="68">
        <v>1.0570470234922451</v>
      </c>
      <c r="Y42" t="s">
        <v>32</v>
      </c>
    </row>
    <row r="43" spans="1:25" x14ac:dyDescent="0.25">
      <c r="A43" s="3"/>
      <c r="B43" s="6" t="s">
        <v>7</v>
      </c>
      <c r="C43" s="8">
        <f>AVERAGE(C40:D42)</f>
        <v>0.8877611177804704</v>
      </c>
      <c r="G43" s="6" t="s">
        <v>7</v>
      </c>
      <c r="H43" s="8">
        <f>AVERAGE(H40:I42)</f>
        <v>0.97760552648428634</v>
      </c>
      <c r="L43" s="6" t="s">
        <v>7</v>
      </c>
      <c r="M43" s="8">
        <f>AVERAGE(M40:N42)</f>
        <v>0.98522471725632954</v>
      </c>
      <c r="Q43" s="6" t="s">
        <v>7</v>
      </c>
      <c r="R43" s="8">
        <f>AVERAGE(R40:S42)</f>
        <v>0.89414488867702291</v>
      </c>
    </row>
    <row r="44" spans="1:25" x14ac:dyDescent="0.25">
      <c r="A44" s="3"/>
      <c r="B44" s="3" t="s">
        <v>8</v>
      </c>
      <c r="C44" s="10">
        <f>STDEV(C40:D42)</f>
        <v>0.11644030360778668</v>
      </c>
      <c r="G44" s="3" t="s">
        <v>8</v>
      </c>
      <c r="H44" s="10">
        <f>STDEV(H40:I42)</f>
        <v>0.17481170789101455</v>
      </c>
      <c r="L44" s="3" t="s">
        <v>8</v>
      </c>
      <c r="M44" s="10">
        <f>STDEV(M40:N42)</f>
        <v>0.16108872748834807</v>
      </c>
      <c r="Q44" s="3" t="s">
        <v>8</v>
      </c>
      <c r="R44" s="10">
        <f>STDEV(R40:S42)</f>
        <v>2.9946408042551571E-2</v>
      </c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44"/>
  <sheetViews>
    <sheetView topLeftCell="A10" workbookViewId="0">
      <selection activeCell="I40" sqref="H40:I42"/>
    </sheetView>
  </sheetViews>
  <sheetFormatPr defaultRowHeight="15" x14ac:dyDescent="0.25"/>
  <cols>
    <col min="5" max="5" width="9.7109375" bestFit="1" customWidth="1"/>
  </cols>
  <sheetData>
    <row r="1" spans="1:20" s="2" customFormat="1" ht="20.25" thickBot="1" x14ac:dyDescent="0.35">
      <c r="A1" s="1" t="s">
        <v>18</v>
      </c>
    </row>
    <row r="2" spans="1:20" ht="15.75" thickTop="1" x14ac:dyDescent="0.25">
      <c r="C2">
        <v>100</v>
      </c>
      <c r="D2" t="s">
        <v>1</v>
      </c>
      <c r="E2" t="s">
        <v>2</v>
      </c>
      <c r="H2" t="s">
        <v>34</v>
      </c>
      <c r="J2" t="s">
        <v>2</v>
      </c>
    </row>
    <row r="3" spans="1:20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K3" s="9"/>
      <c r="L3" s="9"/>
      <c r="M3" s="9"/>
      <c r="N3" s="9"/>
      <c r="O3" s="9"/>
      <c r="P3" s="9"/>
      <c r="Q3" s="9"/>
      <c r="R3" s="9"/>
      <c r="S3" s="9"/>
    </row>
    <row r="4" spans="1:20" x14ac:dyDescent="0.25">
      <c r="A4" s="71" t="s">
        <v>12</v>
      </c>
      <c r="B4" s="3" t="s">
        <v>4</v>
      </c>
      <c r="C4">
        <v>0.42137718184498529</v>
      </c>
      <c r="D4">
        <v>0.44996378897188732</v>
      </c>
      <c r="E4" s="4" t="s">
        <v>25</v>
      </c>
      <c r="G4" s="3"/>
      <c r="H4" s="68">
        <v>1.023701311026217</v>
      </c>
      <c r="I4" s="68">
        <v>0.97629868897378302</v>
      </c>
      <c r="J4" t="s">
        <v>25</v>
      </c>
      <c r="L4" s="3"/>
      <c r="O4" s="4"/>
      <c r="Q4" s="3"/>
      <c r="T4" s="4"/>
    </row>
    <row r="5" spans="1:20" x14ac:dyDescent="0.25">
      <c r="A5" s="71"/>
      <c r="B5" s="3" t="s">
        <v>5</v>
      </c>
      <c r="C5">
        <v>0.38485311814363937</v>
      </c>
      <c r="D5">
        <v>0.39035130193421691</v>
      </c>
      <c r="E5" s="5">
        <v>45446</v>
      </c>
      <c r="G5" s="3"/>
      <c r="H5" s="68">
        <v>0.97427427535839484</v>
      </c>
      <c r="I5" s="68">
        <v>1.0257257246416052</v>
      </c>
      <c r="J5" s="5">
        <v>45446</v>
      </c>
      <c r="L5" s="3"/>
      <c r="Q5" s="3"/>
    </row>
    <row r="6" spans="1:20" x14ac:dyDescent="0.25">
      <c r="A6" s="71"/>
      <c r="B6" s="3" t="s">
        <v>6</v>
      </c>
      <c r="C6">
        <v>0.37637412586314772</v>
      </c>
      <c r="D6">
        <v>0.34123300534300693</v>
      </c>
      <c r="E6" s="5" t="s">
        <v>14</v>
      </c>
      <c r="G6" s="3"/>
      <c r="H6" s="68">
        <v>0.98600854607209376</v>
      </c>
      <c r="I6" s="68">
        <v>1.0139914539279062</v>
      </c>
      <c r="J6" s="5" t="s">
        <v>14</v>
      </c>
      <c r="L6" s="3"/>
      <c r="M6" s="8"/>
      <c r="N6" s="8"/>
      <c r="O6" s="5"/>
      <c r="Q6" s="3"/>
      <c r="T6" s="5"/>
    </row>
    <row r="7" spans="1:20" x14ac:dyDescent="0.25">
      <c r="A7" s="3"/>
      <c r="B7" s="6" t="s">
        <v>7</v>
      </c>
      <c r="C7" s="8">
        <f>AVERAGE(C4:D6)</f>
        <v>0.39402542035014726</v>
      </c>
      <c r="G7" s="6"/>
      <c r="L7" s="6"/>
      <c r="M7" s="8"/>
      <c r="Q7" s="6"/>
      <c r="R7" s="8"/>
    </row>
    <row r="8" spans="1:20" x14ac:dyDescent="0.25">
      <c r="A8" s="3"/>
      <c r="B8" s="3" t="s">
        <v>8</v>
      </c>
      <c r="C8" s="10">
        <f>STDEV(C4:D6)</f>
        <v>3.7612384912916338E-2</v>
      </c>
      <c r="G8" s="3"/>
      <c r="L8" s="3"/>
      <c r="M8" s="10"/>
      <c r="Q8" s="3"/>
      <c r="R8" s="10"/>
    </row>
    <row r="9" spans="1:20" x14ac:dyDescent="0.25">
      <c r="A9" s="3"/>
      <c r="B9" s="3"/>
      <c r="C9" s="7"/>
      <c r="G9" s="3"/>
      <c r="L9" s="3"/>
      <c r="M9" s="7"/>
      <c r="Q9" s="3"/>
      <c r="R9" s="7"/>
    </row>
    <row r="10" spans="1:20" x14ac:dyDescent="0.25">
      <c r="A10" s="6" t="s">
        <v>3</v>
      </c>
      <c r="B10" s="9"/>
      <c r="C10" s="9" t="s">
        <v>10</v>
      </c>
      <c r="D10" s="9" t="s">
        <v>11</v>
      </c>
      <c r="E10" s="9"/>
      <c r="F10" s="9"/>
      <c r="G10" s="9"/>
      <c r="K10" s="9"/>
      <c r="L10" s="9"/>
      <c r="M10" s="9"/>
      <c r="N10" s="9"/>
      <c r="O10" s="9"/>
      <c r="P10" s="9"/>
      <c r="Q10" s="9"/>
      <c r="R10" s="9"/>
      <c r="S10" s="9"/>
    </row>
    <row r="11" spans="1:20" x14ac:dyDescent="0.25">
      <c r="A11" s="71" t="s">
        <v>13</v>
      </c>
      <c r="B11" s="3" t="s">
        <v>4</v>
      </c>
      <c r="C11">
        <v>0.53487106298322085</v>
      </c>
      <c r="D11">
        <v>0.48288847116398154</v>
      </c>
      <c r="E11" s="4" t="s">
        <v>25</v>
      </c>
      <c r="G11" s="3"/>
      <c r="H11" s="68">
        <v>1.042329104937695</v>
      </c>
      <c r="I11" s="68">
        <v>0.95767089506230507</v>
      </c>
      <c r="J11" t="s">
        <v>25</v>
      </c>
      <c r="L11" s="3"/>
      <c r="O11" s="4"/>
      <c r="Q11" s="3"/>
      <c r="T11" s="4"/>
    </row>
    <row r="12" spans="1:20" x14ac:dyDescent="0.25">
      <c r="A12" s="71"/>
      <c r="B12" s="3" t="s">
        <v>5</v>
      </c>
      <c r="C12">
        <v>0.68946168612897074</v>
      </c>
      <c r="D12">
        <v>0.71133826293177249</v>
      </c>
      <c r="E12" s="5">
        <v>45446</v>
      </c>
      <c r="G12" s="3"/>
      <c r="H12" s="68">
        <v>0.91248810427604488</v>
      </c>
      <c r="I12" s="68">
        <v>1.0875118957239549</v>
      </c>
      <c r="J12" s="5">
        <v>45446</v>
      </c>
      <c r="L12" s="3"/>
      <c r="Q12" s="3"/>
    </row>
    <row r="13" spans="1:20" x14ac:dyDescent="0.25">
      <c r="A13" s="71"/>
      <c r="B13" s="3" t="s">
        <v>6</v>
      </c>
      <c r="C13">
        <v>0.71546542802866409</v>
      </c>
      <c r="D13">
        <v>0.78534453816083494</v>
      </c>
      <c r="E13" s="5" t="s">
        <v>14</v>
      </c>
      <c r="G13" s="3"/>
      <c r="H13" s="68">
        <v>0.92514994271851203</v>
      </c>
      <c r="I13" s="68">
        <v>1.0748500572814881</v>
      </c>
      <c r="J13" s="5" t="s">
        <v>14</v>
      </c>
      <c r="L13" s="3"/>
      <c r="M13" s="8"/>
      <c r="N13" s="8"/>
      <c r="O13" s="5"/>
      <c r="Q13" s="3"/>
      <c r="T13" s="5"/>
    </row>
    <row r="14" spans="1:20" x14ac:dyDescent="0.25">
      <c r="A14" s="3"/>
      <c r="B14" s="6" t="s">
        <v>7</v>
      </c>
      <c r="C14" s="8">
        <f>AVERAGE(C11:D13)</f>
        <v>0.65322824156624071</v>
      </c>
      <c r="G14" s="6"/>
      <c r="L14" s="6"/>
      <c r="M14" s="8"/>
      <c r="Q14" s="6"/>
      <c r="R14" s="8"/>
    </row>
    <row r="15" spans="1:20" x14ac:dyDescent="0.25">
      <c r="A15" s="3"/>
      <c r="B15" s="3" t="s">
        <v>8</v>
      </c>
      <c r="C15" s="10">
        <f>STDEV(C11:D13)</f>
        <v>0.11750904594578272</v>
      </c>
      <c r="G15" s="3"/>
      <c r="L15" s="3"/>
      <c r="M15" s="10"/>
      <c r="Q15" s="3"/>
      <c r="R15" s="10"/>
    </row>
    <row r="16" spans="1:20" x14ac:dyDescent="0.25">
      <c r="A16" s="3"/>
      <c r="B16" s="3"/>
      <c r="C16" s="7"/>
      <c r="G16" s="3"/>
      <c r="L16" s="3"/>
      <c r="M16" s="7"/>
      <c r="Q16" s="3"/>
      <c r="R16" s="7"/>
      <c r="T16" s="5"/>
    </row>
    <row r="18" spans="1:20" x14ac:dyDescent="0.25">
      <c r="A18" s="6" t="s">
        <v>15</v>
      </c>
      <c r="B18" s="9"/>
      <c r="C18" s="9" t="s">
        <v>10</v>
      </c>
      <c r="D18" s="9" t="s">
        <v>11</v>
      </c>
      <c r="E18" s="9"/>
      <c r="F18" s="9"/>
      <c r="G18" s="9"/>
      <c r="K18" s="9"/>
      <c r="L18" s="9"/>
      <c r="M18" s="9"/>
      <c r="N18" s="9"/>
      <c r="O18" s="9"/>
      <c r="P18" s="9"/>
      <c r="Q18" s="9"/>
      <c r="R18" s="9"/>
      <c r="S18" s="9"/>
      <c r="T18" s="4"/>
    </row>
    <row r="19" spans="1:20" x14ac:dyDescent="0.25">
      <c r="A19" s="71" t="s">
        <v>12</v>
      </c>
      <c r="B19" s="3" t="s">
        <v>4</v>
      </c>
      <c r="C19">
        <v>0.50023318023173735</v>
      </c>
      <c r="D19">
        <v>0.47193853477260356</v>
      </c>
      <c r="E19" s="4" t="s">
        <v>25</v>
      </c>
      <c r="G19" s="3"/>
      <c r="H19" s="66">
        <v>1.0336522283364085</v>
      </c>
      <c r="I19" s="66">
        <v>0.96634777166359198</v>
      </c>
      <c r="J19" t="s">
        <v>25</v>
      </c>
      <c r="L19" s="3"/>
      <c r="O19" s="4"/>
      <c r="Q19" s="3"/>
    </row>
    <row r="20" spans="1:20" x14ac:dyDescent="0.25">
      <c r="A20" s="71"/>
      <c r="B20" s="3" t="s">
        <v>5</v>
      </c>
      <c r="C20">
        <v>0.33164287147158861</v>
      </c>
      <c r="D20">
        <v>0.31795141397831234</v>
      </c>
      <c r="E20" s="5">
        <v>45446</v>
      </c>
      <c r="G20" s="3"/>
      <c r="H20" s="66">
        <v>1.0177692871823194</v>
      </c>
      <c r="I20" s="66">
        <v>0.9822307128176806</v>
      </c>
      <c r="J20" s="5">
        <v>45446</v>
      </c>
      <c r="L20" s="3"/>
      <c r="Q20" s="3"/>
      <c r="T20" s="5"/>
    </row>
    <row r="21" spans="1:20" x14ac:dyDescent="0.25">
      <c r="A21" s="71"/>
      <c r="B21" s="3" t="s">
        <v>6</v>
      </c>
      <c r="C21" s="3">
        <v>0.31214256806439727</v>
      </c>
      <c r="D21">
        <v>0.31160371554576755</v>
      </c>
      <c r="E21" s="5" t="s">
        <v>14</v>
      </c>
      <c r="G21" s="3"/>
      <c r="H21" s="66">
        <v>0.91487054106515908</v>
      </c>
      <c r="I21" s="66">
        <v>1.085129458934841</v>
      </c>
      <c r="J21" s="5" t="s">
        <v>14</v>
      </c>
      <c r="L21" s="3"/>
      <c r="O21" s="5"/>
      <c r="Q21" s="3"/>
      <c r="T21" s="5"/>
    </row>
    <row r="22" spans="1:20" x14ac:dyDescent="0.25">
      <c r="A22" s="3"/>
      <c r="B22" s="6" t="s">
        <v>7</v>
      </c>
      <c r="C22" s="8">
        <f>AVERAGE(C19:D21)</f>
        <v>0.37425204734406781</v>
      </c>
      <c r="G22" s="6"/>
      <c r="L22" s="6"/>
      <c r="M22" s="8"/>
      <c r="Q22" s="6"/>
      <c r="R22" s="8"/>
    </row>
    <row r="23" spans="1:20" x14ac:dyDescent="0.25">
      <c r="A23" s="3"/>
      <c r="B23" s="3" t="s">
        <v>8</v>
      </c>
      <c r="C23" s="10">
        <f>STDEV(C19:D21)</f>
        <v>8.7386039788063141E-2</v>
      </c>
      <c r="G23" s="3"/>
      <c r="L23" s="3"/>
      <c r="M23" s="10"/>
      <c r="Q23" s="3"/>
      <c r="R23" s="10"/>
    </row>
    <row r="24" spans="1:20" x14ac:dyDescent="0.25">
      <c r="A24" s="3"/>
      <c r="B24" s="3"/>
      <c r="E24" s="5"/>
      <c r="G24" s="3"/>
      <c r="L24" s="3"/>
      <c r="M24" s="8"/>
      <c r="N24" s="8"/>
      <c r="O24" s="5"/>
      <c r="Q24" s="3"/>
    </row>
    <row r="25" spans="1:20" x14ac:dyDescent="0.25">
      <c r="A25" s="6" t="s">
        <v>15</v>
      </c>
      <c r="B25" s="9"/>
      <c r="C25" s="9" t="s">
        <v>10</v>
      </c>
      <c r="D25" s="9" t="s">
        <v>11</v>
      </c>
      <c r="E25" s="9"/>
      <c r="F25" s="9"/>
      <c r="G25" s="9"/>
      <c r="K25" s="9"/>
      <c r="L25" s="9"/>
      <c r="M25" s="9"/>
      <c r="N25" s="9"/>
      <c r="O25" s="9"/>
      <c r="P25" s="9"/>
      <c r="Q25" s="9"/>
      <c r="R25" s="9"/>
      <c r="S25" s="9"/>
    </row>
    <row r="26" spans="1:20" x14ac:dyDescent="0.25">
      <c r="A26" s="71" t="s">
        <v>13</v>
      </c>
      <c r="B26" s="3" t="s">
        <v>4</v>
      </c>
      <c r="C26">
        <v>0.60907246671825843</v>
      </c>
      <c r="D26">
        <v>0.65270413658275961</v>
      </c>
      <c r="E26" s="4" t="s">
        <v>25</v>
      </c>
      <c r="G26" s="3"/>
      <c r="H26" s="66">
        <v>1.0134768085896038</v>
      </c>
      <c r="I26" s="66">
        <v>0.98652319141039613</v>
      </c>
      <c r="J26" t="s">
        <v>25</v>
      </c>
      <c r="L26" s="3"/>
      <c r="O26" s="4"/>
      <c r="Q26" s="3"/>
    </row>
    <row r="27" spans="1:20" x14ac:dyDescent="0.25">
      <c r="A27" s="71"/>
      <c r="B27" s="3" t="s">
        <v>5</v>
      </c>
      <c r="C27">
        <v>0.55855181951206412</v>
      </c>
      <c r="D27">
        <v>0.59350143327153537</v>
      </c>
      <c r="E27" s="5">
        <v>45446</v>
      </c>
      <c r="G27" s="3"/>
      <c r="H27" s="66">
        <v>0.95249665946337125</v>
      </c>
      <c r="I27" s="66">
        <v>1.0475033405366285</v>
      </c>
      <c r="J27" s="5">
        <v>45446</v>
      </c>
      <c r="L27" s="3"/>
      <c r="Q27" s="3"/>
    </row>
    <row r="28" spans="1:20" x14ac:dyDescent="0.25">
      <c r="A28" s="71"/>
      <c r="B28" s="3" t="s">
        <v>6</v>
      </c>
      <c r="C28" s="3">
        <v>0.52663502701284848</v>
      </c>
      <c r="D28">
        <v>0.45621037469346598</v>
      </c>
      <c r="E28" s="5" t="s">
        <v>14</v>
      </c>
      <c r="G28" s="3"/>
      <c r="H28" s="66">
        <v>0.96991181945608407</v>
      </c>
      <c r="I28" s="66">
        <v>1.0300881805439159</v>
      </c>
      <c r="J28" s="5" t="s">
        <v>14</v>
      </c>
      <c r="L28" s="3"/>
      <c r="M28" s="3"/>
      <c r="O28" s="5"/>
      <c r="Q28" s="3"/>
      <c r="R28" s="3"/>
      <c r="T28" s="5"/>
    </row>
    <row r="29" spans="1:20" x14ac:dyDescent="0.25">
      <c r="A29" s="3"/>
      <c r="B29" s="6" t="s">
        <v>7</v>
      </c>
      <c r="C29" s="8">
        <f>AVERAGE(C26:D28)</f>
        <v>0.56611254296515534</v>
      </c>
      <c r="G29" s="6"/>
      <c r="L29" s="6"/>
      <c r="M29" s="8"/>
      <c r="Q29" s="6"/>
      <c r="R29" s="8"/>
    </row>
    <row r="30" spans="1:20" x14ac:dyDescent="0.25">
      <c r="A30" s="3"/>
      <c r="B30" s="3" t="s">
        <v>8</v>
      </c>
      <c r="C30" s="10">
        <f>STDEV(C26:D28)</f>
        <v>6.8975264902776529E-2</v>
      </c>
      <c r="G30" s="3"/>
      <c r="L30" s="3"/>
      <c r="M30" s="10"/>
      <c r="Q30" s="3"/>
      <c r="R30" s="10"/>
    </row>
    <row r="32" spans="1:20" x14ac:dyDescent="0.25">
      <c r="A32" s="6" t="s">
        <v>9</v>
      </c>
      <c r="B32" s="9"/>
      <c r="C32" s="9" t="s">
        <v>10</v>
      </c>
      <c r="D32" s="9" t="s">
        <v>11</v>
      </c>
      <c r="E32" s="9"/>
      <c r="F32" s="9"/>
      <c r="G32" s="9"/>
      <c r="K32" s="9"/>
      <c r="L32" s="9"/>
      <c r="M32" s="9"/>
      <c r="N32" s="9"/>
      <c r="O32" s="9"/>
      <c r="P32" s="9"/>
      <c r="Q32" s="9"/>
      <c r="R32" s="9"/>
      <c r="S32" s="9"/>
    </row>
    <row r="33" spans="1:20" x14ac:dyDescent="0.25">
      <c r="A33" s="71" t="s">
        <v>12</v>
      </c>
      <c r="B33" s="3" t="s">
        <v>4</v>
      </c>
      <c r="C33">
        <v>0.60487228081711453</v>
      </c>
      <c r="D33">
        <v>0.57091221342278897</v>
      </c>
      <c r="E33" s="4" t="s">
        <v>25</v>
      </c>
      <c r="G33" s="3"/>
      <c r="H33" s="66">
        <v>1.0483413308573692</v>
      </c>
      <c r="I33" s="66">
        <v>0.95165866914263064</v>
      </c>
      <c r="J33" t="s">
        <v>25</v>
      </c>
      <c r="L33" s="3"/>
      <c r="O33" s="4"/>
      <c r="Q33" s="3"/>
    </row>
    <row r="34" spans="1:20" x14ac:dyDescent="0.25">
      <c r="A34" s="71"/>
      <c r="B34" s="3" t="s">
        <v>5</v>
      </c>
      <c r="C34">
        <v>0.60463695643277759</v>
      </c>
      <c r="D34">
        <v>0.64702336601004395</v>
      </c>
      <c r="E34" s="5">
        <v>45446</v>
      </c>
      <c r="G34" s="3"/>
      <c r="H34" s="66">
        <v>1.0282035732611841</v>
      </c>
      <c r="I34" s="66">
        <v>0.97179642673881605</v>
      </c>
      <c r="J34" s="5">
        <v>45446</v>
      </c>
      <c r="L34" s="3"/>
      <c r="Q34" s="3"/>
    </row>
    <row r="35" spans="1:20" x14ac:dyDescent="0.25">
      <c r="A35" s="71"/>
      <c r="B35" s="3" t="s">
        <v>6</v>
      </c>
      <c r="C35" s="3">
        <v>0.61084420015541874</v>
      </c>
      <c r="D35">
        <v>0.61151983349842043</v>
      </c>
      <c r="E35" s="5" t="s">
        <v>14</v>
      </c>
      <c r="G35" s="3"/>
      <c r="H35" s="66">
        <v>0.98040359834670554</v>
      </c>
      <c r="I35" s="66">
        <v>1.0195964016532946</v>
      </c>
      <c r="J35" s="5" t="s">
        <v>14</v>
      </c>
      <c r="L35" s="3"/>
      <c r="M35" s="3"/>
      <c r="O35" s="5"/>
      <c r="Q35" s="3"/>
      <c r="R35" s="3"/>
      <c r="T35" s="5"/>
    </row>
    <row r="36" spans="1:20" x14ac:dyDescent="0.25">
      <c r="A36" s="3"/>
      <c r="B36" s="6" t="s">
        <v>7</v>
      </c>
      <c r="C36" s="8">
        <f>AVERAGE(C33:D35)</f>
        <v>0.608301475056094</v>
      </c>
      <c r="G36" s="6"/>
      <c r="H36" s="66"/>
      <c r="I36" s="66"/>
      <c r="L36" s="6"/>
      <c r="M36" s="8"/>
      <c r="Q36" s="6"/>
      <c r="R36" s="8"/>
    </row>
    <row r="37" spans="1:20" x14ac:dyDescent="0.25">
      <c r="A37" s="3"/>
      <c r="B37" s="3" t="s">
        <v>8</v>
      </c>
      <c r="C37" s="10">
        <f>STDEV(C33:D35)</f>
        <v>2.4246043291212029E-2</v>
      </c>
      <c r="G37" s="3"/>
      <c r="H37" s="66"/>
      <c r="I37" s="66"/>
      <c r="L37" s="3"/>
      <c r="M37" s="10"/>
      <c r="Q37" s="3"/>
      <c r="R37" s="10"/>
    </row>
    <row r="38" spans="1:20" x14ac:dyDescent="0.25">
      <c r="A38" s="3"/>
      <c r="B38" s="3"/>
      <c r="C38" s="3"/>
      <c r="E38" s="5"/>
      <c r="G38" s="3"/>
      <c r="H38" s="66"/>
      <c r="I38" s="66"/>
      <c r="L38" s="3"/>
      <c r="M38" s="3"/>
      <c r="O38" s="5"/>
      <c r="Q38" s="3"/>
      <c r="R38" s="3"/>
    </row>
    <row r="39" spans="1:20" x14ac:dyDescent="0.25">
      <c r="A39" s="6" t="s">
        <v>9</v>
      </c>
      <c r="B39" s="9"/>
      <c r="C39" s="9" t="s">
        <v>10</v>
      </c>
      <c r="D39" s="9" t="s">
        <v>11</v>
      </c>
      <c r="E39" s="9"/>
      <c r="F39" s="9"/>
      <c r="G39" s="9"/>
      <c r="H39" s="66"/>
      <c r="I39" s="66"/>
      <c r="K39" s="9"/>
      <c r="L39" s="9"/>
      <c r="M39" s="9"/>
      <c r="N39" s="9"/>
      <c r="O39" s="9"/>
      <c r="P39" s="9"/>
      <c r="Q39" s="9"/>
      <c r="R39" s="9"/>
      <c r="S39" s="9"/>
    </row>
    <row r="40" spans="1:20" x14ac:dyDescent="0.25">
      <c r="A40" s="71" t="s">
        <v>13</v>
      </c>
      <c r="B40" s="3" t="s">
        <v>4</v>
      </c>
      <c r="C40">
        <v>0.86568972897075436</v>
      </c>
      <c r="D40">
        <v>0.84869216808228742</v>
      </c>
      <c r="E40" s="4" t="s">
        <v>25</v>
      </c>
      <c r="G40" s="3"/>
      <c r="H40" s="66">
        <v>1.059384858044164</v>
      </c>
      <c r="I40" s="66">
        <v>0.94061514195583595</v>
      </c>
      <c r="J40" t="s">
        <v>25</v>
      </c>
      <c r="L40" s="3"/>
      <c r="O40" s="4"/>
      <c r="Q40" s="3"/>
    </row>
    <row r="41" spans="1:20" x14ac:dyDescent="0.25">
      <c r="A41" s="71"/>
      <c r="B41" s="3" t="s">
        <v>5</v>
      </c>
      <c r="C41">
        <v>0.90683405974734566</v>
      </c>
      <c r="D41">
        <v>1.0000622267208203</v>
      </c>
      <c r="E41" s="5">
        <v>45446</v>
      </c>
      <c r="G41" s="3"/>
      <c r="H41" s="66">
        <v>0.93461172753686872</v>
      </c>
      <c r="I41" s="66">
        <v>1.0653882724631314</v>
      </c>
      <c r="J41" s="5">
        <v>45446</v>
      </c>
      <c r="L41" s="3"/>
      <c r="Q41" s="3"/>
    </row>
    <row r="42" spans="1:20" x14ac:dyDescent="0.25">
      <c r="A42" s="71"/>
      <c r="B42" s="3" t="s">
        <v>6</v>
      </c>
      <c r="C42" s="3">
        <v>1.1671266560658269</v>
      </c>
      <c r="D42">
        <v>1.181428053048361</v>
      </c>
      <c r="E42" s="5" t="s">
        <v>14</v>
      </c>
      <c r="G42" s="3"/>
      <c r="H42" s="66">
        <v>0.96767899942503122</v>
      </c>
      <c r="I42" s="66">
        <v>1.032321000574969</v>
      </c>
      <c r="J42" s="5" t="s">
        <v>14</v>
      </c>
      <c r="L42" s="3"/>
      <c r="M42" s="3"/>
      <c r="O42" s="5"/>
      <c r="Q42" s="3"/>
      <c r="R42" s="3"/>
      <c r="T42" s="5"/>
    </row>
    <row r="43" spans="1:20" x14ac:dyDescent="0.25">
      <c r="A43" s="3"/>
      <c r="B43" s="6" t="s">
        <v>7</v>
      </c>
      <c r="C43" s="8">
        <f>AVERAGE(C40:D42)</f>
        <v>0.99497214877256601</v>
      </c>
      <c r="G43" s="6"/>
      <c r="L43" s="6"/>
      <c r="M43" s="8"/>
      <c r="Q43" s="6"/>
      <c r="R43" s="8"/>
    </row>
    <row r="44" spans="1:20" x14ac:dyDescent="0.25">
      <c r="A44" s="3"/>
      <c r="B44" s="3" t="s">
        <v>8</v>
      </c>
      <c r="C44" s="10">
        <f>STDEV(C40:D42)</f>
        <v>0.14853214269765774</v>
      </c>
      <c r="G44" s="3"/>
      <c r="L44" s="3"/>
      <c r="M44" s="10"/>
      <c r="Q44" s="3"/>
      <c r="R44" s="10"/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46"/>
  <sheetViews>
    <sheetView topLeftCell="C13" workbookViewId="0">
      <selection activeCell="AC40" sqref="AB40:AC42"/>
    </sheetView>
  </sheetViews>
  <sheetFormatPr defaultRowHeight="15" x14ac:dyDescent="0.25"/>
  <cols>
    <col min="5" max="5" width="9.7109375" bestFit="1" customWidth="1"/>
    <col min="10" max="10" width="9.7109375" bestFit="1" customWidth="1"/>
    <col min="15" max="15" width="9.7109375" bestFit="1" customWidth="1"/>
    <col min="20" max="20" width="9.7109375" bestFit="1" customWidth="1"/>
    <col min="21" max="21" width="9.7109375" customWidth="1"/>
    <col min="22" max="22" width="10.140625" bestFit="1" customWidth="1"/>
    <col min="23" max="23" width="10.28515625" bestFit="1" customWidth="1"/>
    <col min="24" max="24" width="9.7109375" bestFit="1" customWidth="1"/>
    <col min="25" max="25" width="9.7109375" customWidth="1"/>
    <col min="26" max="26" width="9.140625" style="41"/>
    <col min="28" max="28" width="12" bestFit="1" customWidth="1"/>
    <col min="30" max="30" width="9.7109375" bestFit="1" customWidth="1"/>
  </cols>
  <sheetData>
    <row r="1" spans="1:30" s="2" customFormat="1" ht="20.25" thickBot="1" x14ac:dyDescent="0.35">
      <c r="A1" s="1" t="s">
        <v>22</v>
      </c>
      <c r="T1" s="43"/>
      <c r="U1" s="40"/>
      <c r="Y1" s="40"/>
      <c r="Z1" s="40"/>
      <c r="AA1" s="2" t="s">
        <v>36</v>
      </c>
    </row>
    <row r="2" spans="1:30" ht="15.75" thickTop="1" x14ac:dyDescent="0.25">
      <c r="C2">
        <v>100</v>
      </c>
      <c r="D2" t="s">
        <v>1</v>
      </c>
      <c r="E2" t="s">
        <v>2</v>
      </c>
      <c r="H2">
        <v>10</v>
      </c>
      <c r="I2" t="s">
        <v>1</v>
      </c>
      <c r="J2" t="s">
        <v>2</v>
      </c>
      <c r="M2">
        <v>1</v>
      </c>
      <c r="N2" t="s">
        <v>1</v>
      </c>
      <c r="O2" t="s">
        <v>2</v>
      </c>
      <c r="R2">
        <v>0.1</v>
      </c>
      <c r="S2" t="s">
        <v>1</v>
      </c>
      <c r="T2" s="44" t="s">
        <v>2</v>
      </c>
      <c r="U2" s="41"/>
      <c r="V2" t="s">
        <v>34</v>
      </c>
      <c r="X2" t="s">
        <v>2</v>
      </c>
      <c r="Y2" s="41"/>
      <c r="AB2">
        <v>0.01</v>
      </c>
      <c r="AC2" t="s">
        <v>1</v>
      </c>
      <c r="AD2" t="s">
        <v>2</v>
      </c>
    </row>
    <row r="3" spans="1:30" ht="15.75" thickBot="1" x14ac:dyDescent="0.3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J3" s="9"/>
      <c r="K3" s="9"/>
      <c r="L3" s="9"/>
      <c r="M3" s="9" t="s">
        <v>10</v>
      </c>
      <c r="N3" s="9" t="s">
        <v>11</v>
      </c>
      <c r="O3" s="9"/>
      <c r="P3" s="9"/>
      <c r="Q3" s="9"/>
      <c r="R3" s="9" t="s">
        <v>10</v>
      </c>
      <c r="S3" s="9" t="s">
        <v>11</v>
      </c>
      <c r="T3" s="44"/>
      <c r="U3" s="41"/>
      <c r="V3" s="9" t="s">
        <v>10</v>
      </c>
      <c r="W3" s="9" t="s">
        <v>11</v>
      </c>
      <c r="Y3" s="41"/>
      <c r="AA3" s="9"/>
      <c r="AB3" s="9" t="s">
        <v>10</v>
      </c>
      <c r="AC3" s="9" t="s">
        <v>11</v>
      </c>
    </row>
    <row r="4" spans="1:30" ht="15.75" thickBot="1" x14ac:dyDescent="0.3">
      <c r="A4" s="71" t="s">
        <v>12</v>
      </c>
      <c r="B4" s="3" t="s">
        <v>4</v>
      </c>
      <c r="C4">
        <v>106.36497461570676</v>
      </c>
      <c r="D4">
        <v>114.23863446380579</v>
      </c>
      <c r="E4" s="27" t="s">
        <v>28</v>
      </c>
      <c r="G4" s="3" t="s">
        <v>4</v>
      </c>
      <c r="H4">
        <v>101.40996854876498</v>
      </c>
      <c r="I4">
        <v>113.17852036614822</v>
      </c>
      <c r="J4" s="27" t="s">
        <v>28</v>
      </c>
      <c r="L4" s="3" t="s">
        <v>4</v>
      </c>
      <c r="M4">
        <v>93.197330122156345</v>
      </c>
      <c r="N4">
        <v>99.176102391933568</v>
      </c>
      <c r="O4" s="27" t="s">
        <v>28</v>
      </c>
      <c r="Q4" s="3" t="s">
        <v>4</v>
      </c>
      <c r="R4">
        <v>102.4200546594989</v>
      </c>
      <c r="S4">
        <v>106.00825126569293</v>
      </c>
      <c r="T4" s="45" t="s">
        <v>28</v>
      </c>
      <c r="U4" s="50"/>
      <c r="V4" s="57">
        <v>88.632631623177446</v>
      </c>
      <c r="W4" s="58">
        <v>111.36736837682255</v>
      </c>
      <c r="X4" s="49" t="s">
        <v>28</v>
      </c>
      <c r="Y4" s="50"/>
      <c r="AA4" s="3" t="s">
        <v>4</v>
      </c>
      <c r="AB4">
        <v>89.376773371396041</v>
      </c>
      <c r="AC4">
        <v>89.326279322505272</v>
      </c>
      <c r="AD4" s="27" t="s">
        <v>28</v>
      </c>
    </row>
    <row r="5" spans="1:30" x14ac:dyDescent="0.25">
      <c r="A5" s="71"/>
      <c r="B5" s="3" t="s">
        <v>5</v>
      </c>
      <c r="C5">
        <v>115.3662796958822</v>
      </c>
      <c r="D5">
        <v>116.51010303689624</v>
      </c>
      <c r="E5" s="19">
        <v>45597</v>
      </c>
      <c r="G5" s="3" t="s">
        <v>5</v>
      </c>
      <c r="H5">
        <v>100.45931731467354</v>
      </c>
      <c r="I5">
        <v>103.40971367020286</v>
      </c>
      <c r="J5" s="19">
        <v>45597</v>
      </c>
      <c r="L5" s="3" t="s">
        <v>5</v>
      </c>
      <c r="M5">
        <v>92.385281474660303</v>
      </c>
      <c r="N5">
        <v>94.356803870542677</v>
      </c>
      <c r="O5" s="19">
        <v>45597</v>
      </c>
      <c r="Q5" s="3" t="s">
        <v>5</v>
      </c>
      <c r="R5">
        <v>110.79759781611726</v>
      </c>
      <c r="S5">
        <v>107.96897080626502</v>
      </c>
      <c r="T5" s="46">
        <v>45597</v>
      </c>
      <c r="U5" s="51"/>
      <c r="V5" s="57">
        <v>98.026845607640084</v>
      </c>
      <c r="W5" s="58">
        <v>101.9731543923599</v>
      </c>
      <c r="X5" s="46">
        <v>45597</v>
      </c>
      <c r="Y5" s="51"/>
      <c r="AA5" s="3" t="s">
        <v>5</v>
      </c>
      <c r="AB5">
        <v>116.52293268338774</v>
      </c>
      <c r="AC5">
        <v>117.08211152686063</v>
      </c>
      <c r="AD5" s="19">
        <v>45597</v>
      </c>
    </row>
    <row r="6" spans="1:30" x14ac:dyDescent="0.25">
      <c r="A6" s="71"/>
      <c r="B6" s="3" t="s">
        <v>6</v>
      </c>
      <c r="C6">
        <f>1.04666345754277*100</f>
        <v>104.666345754277</v>
      </c>
      <c r="D6">
        <f>1.18193769822809*100</f>
        <v>118.193769822809</v>
      </c>
      <c r="E6" t="s">
        <v>32</v>
      </c>
      <c r="G6" s="3" t="s">
        <v>6</v>
      </c>
      <c r="H6">
        <f>1.27397310742002*100</f>
        <v>127.39731074200201</v>
      </c>
      <c r="I6">
        <f>1.27205805775997*100</f>
        <v>127.20580577599701</v>
      </c>
      <c r="J6" t="s">
        <v>32</v>
      </c>
      <c r="L6" s="3" t="s">
        <v>6</v>
      </c>
      <c r="M6" s="18">
        <f>1.40842040377528*100</f>
        <v>140.84204037752801</v>
      </c>
      <c r="N6" s="18">
        <f>1.40609789058483*100</f>
        <v>140.60978905848302</v>
      </c>
      <c r="O6" t="s">
        <v>32</v>
      </c>
      <c r="Q6" s="3" t="s">
        <v>6</v>
      </c>
      <c r="R6">
        <f>1.20649911990531*100</f>
        <v>120.649911990531</v>
      </c>
      <c r="S6">
        <f>1.18683830822892*100</f>
        <v>118.68383082289201</v>
      </c>
      <c r="T6" s="44" t="s">
        <v>32</v>
      </c>
      <c r="U6" s="41"/>
      <c r="V6" s="70">
        <v>0.97632042576223821</v>
      </c>
      <c r="W6" s="70">
        <v>1.0236795742377618</v>
      </c>
      <c r="X6" t="s">
        <v>32</v>
      </c>
      <c r="Y6" s="41"/>
      <c r="AA6" s="3" t="s">
        <v>6</v>
      </c>
      <c r="AB6">
        <f>1.25440351090771*100</f>
        <v>125.440351090771</v>
      </c>
      <c r="AC6">
        <f>1.36460115928817*100</f>
        <v>136.460115928817</v>
      </c>
      <c r="AD6" t="s">
        <v>32</v>
      </c>
    </row>
    <row r="7" spans="1:30" x14ac:dyDescent="0.25">
      <c r="A7" s="21"/>
      <c r="B7" s="22" t="s">
        <v>7</v>
      </c>
      <c r="C7" s="18">
        <f>AVERAGE(C4:D6)</f>
        <v>112.55668456489616</v>
      </c>
      <c r="D7" s="20"/>
      <c r="E7" s="20"/>
      <c r="F7" s="20"/>
      <c r="G7" s="22" t="s">
        <v>7</v>
      </c>
      <c r="H7" s="18">
        <f>AVERAGE(H4:I6)</f>
        <v>112.1767727362981</v>
      </c>
      <c r="I7" s="20"/>
      <c r="J7" s="20"/>
      <c r="K7" s="20"/>
      <c r="L7" s="22" t="s">
        <v>7</v>
      </c>
      <c r="M7" s="18">
        <f>AVERAGE(M4:N6)</f>
        <v>110.09455788255065</v>
      </c>
      <c r="N7" s="20"/>
      <c r="O7" s="20"/>
      <c r="P7" s="20"/>
      <c r="Q7" s="22" t="s">
        <v>7</v>
      </c>
      <c r="R7" s="18">
        <f>AVERAGE(R4:S6)</f>
        <v>111.08810289349952</v>
      </c>
      <c r="S7" s="20"/>
      <c r="T7" s="47"/>
      <c r="U7" s="42"/>
      <c r="Y7" s="42"/>
      <c r="Z7" s="42"/>
      <c r="AA7" s="22" t="s">
        <v>7</v>
      </c>
      <c r="AB7" s="18">
        <f>AVERAGE(AB4:AC6)</f>
        <v>112.36809398728963</v>
      </c>
    </row>
    <row r="8" spans="1:30" x14ac:dyDescent="0.25">
      <c r="A8" s="21"/>
      <c r="B8" s="21" t="s">
        <v>8</v>
      </c>
      <c r="C8" s="18">
        <f>STDEV(C4:D6)</f>
        <v>5.634247895211681</v>
      </c>
      <c r="D8" s="20"/>
      <c r="E8" s="20"/>
      <c r="F8" s="20"/>
      <c r="G8" s="21" t="s">
        <v>8</v>
      </c>
      <c r="H8" s="18">
        <f>STDEV(H4:I6)</f>
        <v>12.558855586749896</v>
      </c>
      <c r="I8" s="20"/>
      <c r="J8" s="20"/>
      <c r="K8" s="20"/>
      <c r="L8" s="21" t="s">
        <v>8</v>
      </c>
      <c r="M8" s="18">
        <f>STDEV(M4:N6)</f>
        <v>23.84370508968896</v>
      </c>
      <c r="N8" s="20"/>
      <c r="O8" s="20"/>
      <c r="P8" s="20"/>
      <c r="Q8" s="21" t="s">
        <v>8</v>
      </c>
      <c r="R8" s="18">
        <f>STDEV(R4:S6)</f>
        <v>7.2093911935824107</v>
      </c>
      <c r="S8" s="20"/>
      <c r="T8" s="47"/>
      <c r="U8" s="42"/>
      <c r="Y8" s="42"/>
      <c r="Z8" s="42"/>
      <c r="AA8" s="21" t="s">
        <v>8</v>
      </c>
      <c r="AB8" s="18">
        <f>STDEV(AB4:AC6)</f>
        <v>19.237048212621417</v>
      </c>
    </row>
    <row r="9" spans="1:30" x14ac:dyDescent="0.25">
      <c r="A9" s="21"/>
      <c r="B9" s="21"/>
      <c r="C9" s="23"/>
      <c r="D9" s="20"/>
      <c r="E9" s="20"/>
      <c r="F9" s="20"/>
      <c r="G9" s="21"/>
      <c r="H9" s="23"/>
      <c r="I9" s="20"/>
      <c r="J9" s="20"/>
      <c r="K9" s="20"/>
      <c r="L9" s="21"/>
      <c r="M9" s="23"/>
      <c r="N9" s="20"/>
      <c r="O9" s="20"/>
      <c r="P9" s="20"/>
      <c r="Q9" s="21"/>
      <c r="R9" s="23"/>
      <c r="S9" s="20"/>
      <c r="T9" s="47"/>
      <c r="U9" s="42"/>
      <c r="Y9" s="42"/>
      <c r="Z9" s="42"/>
      <c r="AA9" s="21"/>
      <c r="AB9" s="23"/>
    </row>
    <row r="10" spans="1:30" x14ac:dyDescent="0.25">
      <c r="A10" s="22" t="s">
        <v>3</v>
      </c>
      <c r="B10" s="24"/>
      <c r="C10" s="24" t="s">
        <v>10</v>
      </c>
      <c r="D10" s="24" t="s">
        <v>11</v>
      </c>
      <c r="E10" s="24"/>
      <c r="F10" s="24"/>
      <c r="G10" s="24"/>
      <c r="H10" s="24" t="s">
        <v>10</v>
      </c>
      <c r="I10" s="24" t="s">
        <v>11</v>
      </c>
      <c r="J10" s="24"/>
      <c r="K10" s="24"/>
      <c r="L10" s="24"/>
      <c r="M10" s="24" t="s">
        <v>10</v>
      </c>
      <c r="N10" s="24" t="s">
        <v>11</v>
      </c>
      <c r="O10" s="24"/>
      <c r="P10" s="24"/>
      <c r="Q10" s="24"/>
      <c r="R10" s="24" t="s">
        <v>10</v>
      </c>
      <c r="S10" s="24" t="s">
        <v>11</v>
      </c>
      <c r="T10" s="47"/>
      <c r="U10" s="42"/>
      <c r="Y10" s="42"/>
      <c r="Z10" s="42"/>
      <c r="AA10" s="24"/>
      <c r="AB10" s="24" t="s">
        <v>10</v>
      </c>
      <c r="AC10" s="9" t="s">
        <v>11</v>
      </c>
    </row>
    <row r="11" spans="1:30" x14ac:dyDescent="0.25">
      <c r="A11" s="72" t="s">
        <v>13</v>
      </c>
      <c r="B11" s="21" t="s">
        <v>4</v>
      </c>
      <c r="C11" s="20">
        <v>111.89455162207402</v>
      </c>
      <c r="D11" s="20">
        <v>119.0727736362508</v>
      </c>
      <c r="E11" s="27" t="s">
        <v>28</v>
      </c>
      <c r="F11" s="20"/>
      <c r="G11" s="21" t="s">
        <v>4</v>
      </c>
      <c r="H11" s="20">
        <v>111.03709344929717</v>
      </c>
      <c r="I11" s="20">
        <v>104.34746595324935</v>
      </c>
      <c r="J11" s="27" t="s">
        <v>28</v>
      </c>
      <c r="K11" s="20"/>
      <c r="L11" s="21" t="s">
        <v>4</v>
      </c>
      <c r="M11" s="20">
        <v>108.45415180528902</v>
      </c>
      <c r="N11" s="20">
        <v>109.5353760438244</v>
      </c>
      <c r="O11" s="27" t="s">
        <v>28</v>
      </c>
      <c r="P11" s="20"/>
      <c r="Q11" s="21" t="s">
        <v>4</v>
      </c>
      <c r="R11" s="20">
        <v>100.30744661803743</v>
      </c>
      <c r="S11" s="20">
        <v>125.53472141138748</v>
      </c>
      <c r="T11" s="45" t="s">
        <v>28</v>
      </c>
      <c r="U11" s="50"/>
      <c r="V11" s="59">
        <v>85.26800359807396</v>
      </c>
      <c r="W11" s="58">
        <v>114.73199640192604</v>
      </c>
      <c r="X11" s="49" t="s">
        <v>28</v>
      </c>
      <c r="Y11" s="50"/>
      <c r="Z11" s="42"/>
      <c r="AA11" s="21" t="s">
        <v>4</v>
      </c>
      <c r="AB11" s="20">
        <v>105.61136613769959</v>
      </c>
      <c r="AC11">
        <v>103.74200177692853</v>
      </c>
      <c r="AD11" s="27" t="s">
        <v>28</v>
      </c>
    </row>
    <row r="12" spans="1:30" x14ac:dyDescent="0.25">
      <c r="A12" s="72"/>
      <c r="B12" s="21" t="s">
        <v>5</v>
      </c>
      <c r="C12" s="20">
        <v>122.14798283500137</v>
      </c>
      <c r="D12" s="20">
        <v>129.41553679241619</v>
      </c>
      <c r="E12" s="19">
        <v>45597</v>
      </c>
      <c r="F12" s="20"/>
      <c r="G12" s="21" t="s">
        <v>5</v>
      </c>
      <c r="H12" s="20">
        <v>115.37681788299486</v>
      </c>
      <c r="I12" s="20">
        <v>107.76086371787687</v>
      </c>
      <c r="J12" s="19">
        <v>45597</v>
      </c>
      <c r="K12" s="20"/>
      <c r="L12" s="21" t="s">
        <v>5</v>
      </c>
      <c r="M12" s="20">
        <v>89.358779780650536</v>
      </c>
      <c r="N12" s="20">
        <v>89.940706328187275</v>
      </c>
      <c r="O12" s="19">
        <v>45597</v>
      </c>
      <c r="P12" s="20"/>
      <c r="Q12" s="21" t="s">
        <v>5</v>
      </c>
      <c r="R12" s="20">
        <v>108.7278892874516</v>
      </c>
      <c r="S12" s="20">
        <v>110.340671457845</v>
      </c>
      <c r="T12" s="46">
        <v>45597</v>
      </c>
      <c r="U12" s="51"/>
      <c r="V12" s="59">
        <v>96.936543790367608</v>
      </c>
      <c r="W12" s="58">
        <v>103.06345620963239</v>
      </c>
      <c r="X12" s="46">
        <v>45597</v>
      </c>
      <c r="Y12" s="51"/>
      <c r="Z12" s="42"/>
      <c r="AA12" s="21" t="s">
        <v>5</v>
      </c>
      <c r="AB12" s="20">
        <v>111.33987186730765</v>
      </c>
      <c r="AC12">
        <v>119.56199714689082</v>
      </c>
      <c r="AD12" s="19">
        <v>45597</v>
      </c>
    </row>
    <row r="13" spans="1:30" x14ac:dyDescent="0.25">
      <c r="A13" s="72"/>
      <c r="B13" s="21" t="s">
        <v>6</v>
      </c>
      <c r="C13" s="20">
        <f>1.46724342101279*100</f>
        <v>146.72434210127901</v>
      </c>
      <c r="D13" s="20">
        <f>1.784293858341*100</f>
        <v>178.4293858341</v>
      </c>
      <c r="E13" t="s">
        <v>32</v>
      </c>
      <c r="F13" s="20"/>
      <c r="G13" s="21" t="s">
        <v>6</v>
      </c>
      <c r="H13" s="20">
        <f>1.03577911284525*100</f>
        <v>103.577911284525</v>
      </c>
      <c r="I13" s="20">
        <f>1.1334324278755*100</f>
        <v>113.34324278755</v>
      </c>
      <c r="J13" t="s">
        <v>32</v>
      </c>
      <c r="K13" s="20"/>
      <c r="L13" s="21" t="s">
        <v>6</v>
      </c>
      <c r="M13" s="18">
        <f>1.23927233082221*100</f>
        <v>123.92723308222099</v>
      </c>
      <c r="N13" s="18">
        <f>1.3133113372281*100</f>
        <v>131.33113372280999</v>
      </c>
      <c r="O13" t="s">
        <v>32</v>
      </c>
      <c r="P13" s="20"/>
      <c r="Q13" s="21" t="s">
        <v>6</v>
      </c>
      <c r="R13" s="20">
        <f>1.05331416556625*100</f>
        <v>105.33141655662499</v>
      </c>
      <c r="S13" s="20">
        <f>1.01855993006516*100</f>
        <v>101.855993006516</v>
      </c>
      <c r="T13" s="44" t="s">
        <v>32</v>
      </c>
      <c r="U13" s="41"/>
      <c r="V13" s="70">
        <v>1.0640014130946773</v>
      </c>
      <c r="W13" s="70">
        <v>0.93599858690532267</v>
      </c>
      <c r="X13" t="s">
        <v>32</v>
      </c>
      <c r="Y13" s="41"/>
      <c r="Z13" s="42"/>
      <c r="AA13" s="21" t="s">
        <v>6</v>
      </c>
      <c r="AB13" s="20">
        <f>1.17351302026384*100</f>
        <v>117.35130202638399</v>
      </c>
      <c r="AC13">
        <f>1.14058522116102*100</f>
        <v>114.05852211610198</v>
      </c>
      <c r="AD13" t="s">
        <v>32</v>
      </c>
    </row>
    <row r="14" spans="1:30" x14ac:dyDescent="0.25">
      <c r="A14" s="21"/>
      <c r="B14" s="22" t="s">
        <v>7</v>
      </c>
      <c r="C14" s="18">
        <f>AVERAGE(C11:D13)</f>
        <v>134.6140954701869</v>
      </c>
      <c r="D14" s="20"/>
      <c r="E14" s="20"/>
      <c r="F14" s="20"/>
      <c r="G14" s="22" t="s">
        <v>7</v>
      </c>
      <c r="H14" s="18">
        <f>AVERAGE(H11:I13)</f>
        <v>109.24056584591555</v>
      </c>
      <c r="I14" s="20"/>
      <c r="J14" s="20"/>
      <c r="K14" s="20"/>
      <c r="L14" s="22" t="s">
        <v>7</v>
      </c>
      <c r="M14" s="18">
        <f>AVERAGE(M11:N13)</f>
        <v>108.75789679383037</v>
      </c>
      <c r="N14" s="20"/>
      <c r="O14" s="20"/>
      <c r="P14" s="20"/>
      <c r="Q14" s="22" t="s">
        <v>7</v>
      </c>
      <c r="R14" s="18">
        <f>AVERAGE(R11:S13)</f>
        <v>108.6830230563104</v>
      </c>
      <c r="S14" s="20"/>
      <c r="T14" s="47"/>
      <c r="U14" s="42"/>
      <c r="Y14" s="42"/>
      <c r="Z14" s="42"/>
      <c r="AA14" s="22" t="s">
        <v>7</v>
      </c>
      <c r="AB14" s="18">
        <f>AVERAGE(AB11:AC13)</f>
        <v>111.94417684521875</v>
      </c>
    </row>
    <row r="15" spans="1:30" x14ac:dyDescent="0.25">
      <c r="A15" s="21"/>
      <c r="B15" s="21" t="s">
        <v>8</v>
      </c>
      <c r="C15" s="18">
        <f>STDEV(C11:D13)</f>
        <v>24.521733530529858</v>
      </c>
      <c r="D15" s="20"/>
      <c r="E15" s="20"/>
      <c r="F15" s="20"/>
      <c r="G15" s="21" t="s">
        <v>8</v>
      </c>
      <c r="H15" s="18">
        <f>STDEV(H11:I13)</f>
        <v>4.8147826577875836</v>
      </c>
      <c r="I15" s="20"/>
      <c r="J15" s="20"/>
      <c r="K15" s="20"/>
      <c r="L15" s="21" t="s">
        <v>8</v>
      </c>
      <c r="M15" s="18">
        <f>STDEV(M11:N13)</f>
        <v>17.150912056189281</v>
      </c>
      <c r="N15" s="20"/>
      <c r="O15" s="20"/>
      <c r="P15" s="20"/>
      <c r="Q15" s="21" t="s">
        <v>8</v>
      </c>
      <c r="R15" s="18">
        <f>STDEV(R11:S13)</f>
        <v>9.1073754150709885</v>
      </c>
      <c r="S15" s="20"/>
      <c r="T15" s="47"/>
      <c r="U15" s="42"/>
      <c r="Y15" s="42"/>
      <c r="Z15" s="42"/>
      <c r="AA15" s="21" t="s">
        <v>8</v>
      </c>
      <c r="AB15" s="18">
        <f>STDEV(AB11:AC13)</f>
        <v>6.3163913211950975</v>
      </c>
    </row>
    <row r="16" spans="1:30" x14ac:dyDescent="0.25">
      <c r="A16" s="21"/>
      <c r="B16" s="21"/>
      <c r="C16" s="23"/>
      <c r="D16" s="20"/>
      <c r="E16" s="20"/>
      <c r="F16" s="20"/>
      <c r="G16" s="21"/>
      <c r="H16" s="23"/>
      <c r="I16" s="20"/>
      <c r="J16" s="20"/>
      <c r="K16" s="20"/>
      <c r="L16" s="21"/>
      <c r="M16" s="23"/>
      <c r="N16" s="20"/>
      <c r="O16" s="20"/>
      <c r="P16" s="20"/>
      <c r="Q16" s="21"/>
      <c r="R16" s="23"/>
      <c r="S16" s="20"/>
      <c r="T16" s="47"/>
      <c r="U16" s="42"/>
      <c r="Y16" s="42"/>
      <c r="Z16" s="42"/>
      <c r="AA16" s="21"/>
      <c r="AB16" s="23"/>
      <c r="AD16" s="5"/>
    </row>
    <row r="17" spans="1:30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47"/>
      <c r="U17" s="42"/>
      <c r="Y17" s="42"/>
      <c r="Z17" s="42"/>
      <c r="AA17" s="20"/>
      <c r="AB17" s="20"/>
    </row>
    <row r="18" spans="1:30" ht="15.75" thickBot="1" x14ac:dyDescent="0.3">
      <c r="A18" s="22" t="s">
        <v>15</v>
      </c>
      <c r="B18" s="24"/>
      <c r="C18" s="24" t="s">
        <v>10</v>
      </c>
      <c r="D18" s="24" t="s">
        <v>11</v>
      </c>
      <c r="E18" s="24"/>
      <c r="F18" s="24"/>
      <c r="G18" s="24"/>
      <c r="H18" s="24" t="s">
        <v>10</v>
      </c>
      <c r="I18" s="24" t="s">
        <v>11</v>
      </c>
      <c r="J18" s="24"/>
      <c r="K18" s="24"/>
      <c r="L18" s="24"/>
      <c r="M18" s="24" t="s">
        <v>10</v>
      </c>
      <c r="N18" s="24" t="s">
        <v>11</v>
      </c>
      <c r="O18" s="24"/>
      <c r="P18" s="24"/>
      <c r="Q18" s="24"/>
      <c r="R18" s="24" t="s">
        <v>10</v>
      </c>
      <c r="S18" s="24" t="s">
        <v>11</v>
      </c>
      <c r="T18" s="48"/>
      <c r="U18" s="52"/>
      <c r="Y18" s="52"/>
      <c r="Z18" s="42"/>
      <c r="AA18" s="24"/>
      <c r="AB18" s="24" t="s">
        <v>10</v>
      </c>
      <c r="AC18" s="9" t="s">
        <v>11</v>
      </c>
      <c r="AD18" s="4"/>
    </row>
    <row r="19" spans="1:30" ht="15.75" thickBot="1" x14ac:dyDescent="0.3">
      <c r="A19" s="72" t="s">
        <v>12</v>
      </c>
      <c r="B19" s="21" t="s">
        <v>4</v>
      </c>
      <c r="C19" s="20">
        <v>87.130414772040695</v>
      </c>
      <c r="D19" s="20">
        <v>110.01648092686793</v>
      </c>
      <c r="E19" s="26" t="s">
        <v>28</v>
      </c>
      <c r="F19" s="20"/>
      <c r="G19" s="21" t="s">
        <v>4</v>
      </c>
      <c r="H19" s="20">
        <v>109.76088655796461</v>
      </c>
      <c r="I19" s="20">
        <v>107.4582892615652</v>
      </c>
      <c r="J19" s="26" t="s">
        <v>28</v>
      </c>
      <c r="K19" s="20"/>
      <c r="L19" s="21" t="s">
        <v>4</v>
      </c>
      <c r="M19" s="20">
        <v>89.879343946169556</v>
      </c>
      <c r="N19" s="20">
        <v>88.305349866072675</v>
      </c>
      <c r="O19" s="26" t="s">
        <v>28</v>
      </c>
      <c r="P19" s="20"/>
      <c r="Q19" s="21" t="s">
        <v>4</v>
      </c>
      <c r="R19" s="20">
        <v>95.421000352896186</v>
      </c>
      <c r="S19" s="20">
        <v>82.92135678266672</v>
      </c>
      <c r="T19" s="49" t="s">
        <v>28</v>
      </c>
      <c r="U19" s="53"/>
      <c r="V19" s="57">
        <v>96.32207802115019</v>
      </c>
      <c r="W19" s="58">
        <v>103.67792197884982</v>
      </c>
      <c r="X19" s="49" t="s">
        <v>28</v>
      </c>
      <c r="Y19" s="53"/>
      <c r="Z19" s="42"/>
      <c r="AA19" s="21" t="s">
        <v>4</v>
      </c>
      <c r="AB19" s="20">
        <v>96.481395918036625</v>
      </c>
      <c r="AC19">
        <v>90.698508333902936</v>
      </c>
      <c r="AD19" s="26" t="s">
        <v>28</v>
      </c>
    </row>
    <row r="20" spans="1:30" x14ac:dyDescent="0.25">
      <c r="A20" s="72"/>
      <c r="B20" s="21" t="s">
        <v>5</v>
      </c>
      <c r="C20" s="20">
        <v>112.85201342187689</v>
      </c>
      <c r="D20" s="20">
        <v>117.28590064507367</v>
      </c>
      <c r="E20" s="19">
        <v>45597</v>
      </c>
      <c r="F20" s="20"/>
      <c r="G20" s="21" t="s">
        <v>5</v>
      </c>
      <c r="H20" s="20">
        <v>97.000811917499163</v>
      </c>
      <c r="I20" s="20">
        <v>97.502804361068513</v>
      </c>
      <c r="J20" s="19">
        <v>45597</v>
      </c>
      <c r="K20" s="20"/>
      <c r="L20" s="21" t="s">
        <v>5</v>
      </c>
      <c r="M20" s="20">
        <v>80.531675962004513</v>
      </c>
      <c r="N20" s="20">
        <v>80.965599006835802</v>
      </c>
      <c r="O20" s="19">
        <v>45597</v>
      </c>
      <c r="P20" s="20"/>
      <c r="Q20" s="21" t="s">
        <v>5</v>
      </c>
      <c r="R20" s="20">
        <v>99.350340029689093</v>
      </c>
      <c r="S20" s="20">
        <v>109.08697732566543</v>
      </c>
      <c r="T20" s="46">
        <v>45597</v>
      </c>
      <c r="U20" s="51"/>
      <c r="V20" s="57">
        <v>100.75619079275387</v>
      </c>
      <c r="W20" s="58">
        <v>99.24380920724613</v>
      </c>
      <c r="X20" s="46">
        <v>45597</v>
      </c>
      <c r="Y20" s="51"/>
      <c r="Z20" s="42"/>
      <c r="AA20" s="21" t="s">
        <v>5</v>
      </c>
      <c r="AB20" s="20">
        <v>101.17248345962564</v>
      </c>
      <c r="AC20">
        <v>97.916490384371073</v>
      </c>
      <c r="AD20" s="19">
        <v>45597</v>
      </c>
    </row>
    <row r="21" spans="1:30" x14ac:dyDescent="0.25">
      <c r="A21" s="72"/>
      <c r="B21" s="21" t="s">
        <v>6</v>
      </c>
      <c r="C21" s="21">
        <f>1.07543103784155*100</f>
        <v>107.54310378415499</v>
      </c>
      <c r="D21" s="20">
        <f>0.998064772077584*100</f>
        <v>99.806477207758405</v>
      </c>
      <c r="E21" t="s">
        <v>32</v>
      </c>
      <c r="F21" s="20"/>
      <c r="G21" s="21" t="s">
        <v>6</v>
      </c>
      <c r="H21" s="20">
        <f>1.20028473463518*100</f>
        <v>120.028473463518</v>
      </c>
      <c r="I21" s="20">
        <f>1.13853421635701*100</f>
        <v>113.853421635701</v>
      </c>
      <c r="J21" t="s">
        <v>32</v>
      </c>
      <c r="K21" s="20"/>
      <c r="L21" s="21" t="s">
        <v>6</v>
      </c>
      <c r="M21" s="20">
        <f>1.10012976746941*100</f>
        <v>110.01297674694099</v>
      </c>
      <c r="N21" s="20">
        <f>1.25875493676189*100</f>
        <v>125.875493676189</v>
      </c>
      <c r="O21" t="s">
        <v>32</v>
      </c>
      <c r="P21" s="20"/>
      <c r="Q21" s="21" t="s">
        <v>6</v>
      </c>
      <c r="R21" s="20">
        <f>1.06664339214213*100</f>
        <v>106.66433921421302</v>
      </c>
      <c r="S21" s="20">
        <f>1.03877510927856*100</f>
        <v>103.87751092785599</v>
      </c>
      <c r="T21" s="44" t="s">
        <v>32</v>
      </c>
      <c r="U21" s="41"/>
      <c r="V21" s="68">
        <v>0.99227396211278651</v>
      </c>
      <c r="W21" s="68">
        <v>1.0077260378872135</v>
      </c>
      <c r="X21" t="s">
        <v>32</v>
      </c>
      <c r="Y21" s="41"/>
      <c r="Z21" s="42"/>
      <c r="AA21" s="21" t="s">
        <v>6</v>
      </c>
      <c r="AB21" s="20">
        <f>1.20175029566896*100</f>
        <v>120.175029566896</v>
      </c>
      <c r="AC21">
        <f>1.11636573278238*100</f>
        <v>111.63657327823799</v>
      </c>
      <c r="AD21" t="s">
        <v>32</v>
      </c>
    </row>
    <row r="22" spans="1:30" x14ac:dyDescent="0.25">
      <c r="A22" s="21"/>
      <c r="B22" s="22" t="s">
        <v>7</v>
      </c>
      <c r="C22" s="18">
        <f>AVERAGE(C19:D21)</f>
        <v>105.77239845962879</v>
      </c>
      <c r="D22" s="20"/>
      <c r="E22" s="20"/>
      <c r="F22" s="20"/>
      <c r="G22" s="22" t="s">
        <v>7</v>
      </c>
      <c r="H22" s="18">
        <f>AVERAGE(H19:I21)</f>
        <v>107.60078119955274</v>
      </c>
      <c r="I22" s="20"/>
      <c r="J22" s="20"/>
      <c r="K22" s="20"/>
      <c r="L22" s="22" t="s">
        <v>7</v>
      </c>
      <c r="M22" s="18">
        <f>AVERAGE(M19:N21)</f>
        <v>95.928406534035432</v>
      </c>
      <c r="N22" s="20"/>
      <c r="O22" s="20"/>
      <c r="P22" s="20"/>
      <c r="Q22" s="22" t="s">
        <v>7</v>
      </c>
      <c r="R22" s="18">
        <f>AVERAGE(R19:S21)</f>
        <v>99.553587438831073</v>
      </c>
      <c r="S22" s="20"/>
      <c r="T22" s="47"/>
      <c r="U22" s="42"/>
      <c r="Y22" s="42"/>
      <c r="Z22" s="42"/>
      <c r="AA22" s="22" t="s">
        <v>7</v>
      </c>
      <c r="AB22" s="18">
        <f>AVERAGE(AB19:AC21)</f>
        <v>103.01341349017838</v>
      </c>
    </row>
    <row r="23" spans="1:30" x14ac:dyDescent="0.25">
      <c r="A23" s="21"/>
      <c r="B23" s="21" t="s">
        <v>8</v>
      </c>
      <c r="C23" s="18">
        <f>STDEV(C19:D21)</f>
        <v>10.834621231171699</v>
      </c>
      <c r="D23" s="20"/>
      <c r="E23" s="20"/>
      <c r="F23" s="20"/>
      <c r="G23" s="21" t="s">
        <v>8</v>
      </c>
      <c r="H23" s="18">
        <f>STDEV(H19:I21)</f>
        <v>9.0835884049691806</v>
      </c>
      <c r="I23" s="20"/>
      <c r="J23" s="20"/>
      <c r="K23" s="20"/>
      <c r="L23" s="21" t="s">
        <v>8</v>
      </c>
      <c r="M23" s="18">
        <f>STDEV(M19:N21)</f>
        <v>18.170581823049151</v>
      </c>
      <c r="N23" s="20"/>
      <c r="O23" s="20"/>
      <c r="P23" s="20"/>
      <c r="Q23" s="21" t="s">
        <v>8</v>
      </c>
      <c r="R23" s="18">
        <f>STDEV(R19:S21)</f>
        <v>9.5278046791109912</v>
      </c>
      <c r="S23" s="20"/>
      <c r="T23" s="47"/>
      <c r="U23" s="42"/>
      <c r="Y23" s="42"/>
      <c r="Z23" s="42"/>
      <c r="AA23" s="21" t="s">
        <v>8</v>
      </c>
      <c r="AB23" s="18">
        <f>STDEV(AB19:AC21)</f>
        <v>10.886429554172409</v>
      </c>
    </row>
    <row r="24" spans="1:30" x14ac:dyDescent="0.25">
      <c r="A24" s="21"/>
      <c r="B24" s="21"/>
      <c r="C24" s="20"/>
      <c r="D24" s="20"/>
      <c r="E24" s="20"/>
      <c r="F24" s="20"/>
      <c r="G24" s="21"/>
      <c r="H24" s="20"/>
      <c r="I24" s="20"/>
      <c r="J24" s="20"/>
      <c r="K24" s="20"/>
      <c r="L24" s="21"/>
      <c r="M24" s="18"/>
      <c r="N24" s="18"/>
      <c r="O24" s="20"/>
      <c r="P24" s="20"/>
      <c r="Q24" s="21"/>
      <c r="R24" s="20"/>
      <c r="S24" s="20"/>
      <c r="T24" s="47"/>
      <c r="U24" s="42"/>
      <c r="Y24" s="42"/>
      <c r="Z24" s="42"/>
      <c r="AA24" s="21"/>
      <c r="AB24" s="20"/>
    </row>
    <row r="25" spans="1:30" x14ac:dyDescent="0.25">
      <c r="A25" s="22" t="s">
        <v>15</v>
      </c>
      <c r="B25" s="24"/>
      <c r="C25" s="24" t="s">
        <v>10</v>
      </c>
      <c r="D25" s="24" t="s">
        <v>11</v>
      </c>
      <c r="E25" s="24"/>
      <c r="F25" s="24"/>
      <c r="G25" s="24"/>
      <c r="H25" s="24" t="s">
        <v>10</v>
      </c>
      <c r="I25" s="24" t="s">
        <v>11</v>
      </c>
      <c r="J25" s="24"/>
      <c r="K25" s="24"/>
      <c r="L25" s="24"/>
      <c r="M25" s="24" t="s">
        <v>10</v>
      </c>
      <c r="N25" s="24" t="s">
        <v>11</v>
      </c>
      <c r="O25" s="24"/>
      <c r="P25" s="24"/>
      <c r="Q25" s="24"/>
      <c r="R25" s="24" t="s">
        <v>10</v>
      </c>
      <c r="S25" s="24" t="s">
        <v>11</v>
      </c>
      <c r="T25" s="47"/>
      <c r="U25" s="42"/>
      <c r="Y25" s="42"/>
      <c r="Z25" s="42"/>
      <c r="AA25" s="24"/>
      <c r="AB25" s="24" t="s">
        <v>10</v>
      </c>
      <c r="AC25" s="9" t="s">
        <v>11</v>
      </c>
    </row>
    <row r="26" spans="1:30" x14ac:dyDescent="0.25">
      <c r="A26" s="72" t="s">
        <v>13</v>
      </c>
      <c r="B26" s="21" t="s">
        <v>4</v>
      </c>
      <c r="C26" s="20">
        <v>116.77047561138647</v>
      </c>
      <c r="D26" s="20">
        <v>128.55302799858842</v>
      </c>
      <c r="E26" s="26" t="s">
        <v>28</v>
      </c>
      <c r="F26" s="20"/>
      <c r="G26" s="21" t="s">
        <v>4</v>
      </c>
      <c r="H26" s="20">
        <v>116.63908310515103</v>
      </c>
      <c r="I26" s="20">
        <v>94.450627124590682</v>
      </c>
      <c r="J26" s="26" t="s">
        <v>28</v>
      </c>
      <c r="K26" s="20"/>
      <c r="L26" s="21" t="s">
        <v>4</v>
      </c>
      <c r="M26" s="20">
        <v>101.94896393155155</v>
      </c>
      <c r="N26" s="20">
        <v>106.03100855912624</v>
      </c>
      <c r="O26" s="26" t="s">
        <v>28</v>
      </c>
      <c r="P26" s="20"/>
      <c r="Q26" s="21" t="s">
        <v>4</v>
      </c>
      <c r="R26" s="20">
        <v>121.25795984574141</v>
      </c>
      <c r="S26" s="20">
        <v>119.6904743602702</v>
      </c>
      <c r="T26" s="49" t="s">
        <v>28</v>
      </c>
      <c r="U26" s="53"/>
      <c r="V26" s="59">
        <v>90.852867232303865</v>
      </c>
      <c r="W26" s="58">
        <v>109.14713276769615</v>
      </c>
      <c r="X26" s="49" t="s">
        <v>28</v>
      </c>
      <c r="Y26" s="53"/>
      <c r="Z26" s="42"/>
      <c r="AA26" s="21" t="s">
        <v>4</v>
      </c>
      <c r="AB26" s="20">
        <v>102.25994036647367</v>
      </c>
      <c r="AC26">
        <v>122.60494022360501</v>
      </c>
      <c r="AD26" s="26" t="s">
        <v>28</v>
      </c>
    </row>
    <row r="27" spans="1:30" x14ac:dyDescent="0.25">
      <c r="A27" s="72"/>
      <c r="B27" s="21" t="s">
        <v>5</v>
      </c>
      <c r="C27" s="37">
        <v>124.15854038924114</v>
      </c>
      <c r="D27" s="37">
        <v>143.66360007290814</v>
      </c>
      <c r="E27" s="19">
        <v>45597</v>
      </c>
      <c r="F27" s="20"/>
      <c r="G27" s="21" t="s">
        <v>5</v>
      </c>
      <c r="H27" s="20">
        <v>114.71915075599983</v>
      </c>
      <c r="I27" s="20">
        <v>126.04779116985847</v>
      </c>
      <c r="J27" s="19">
        <v>45597</v>
      </c>
      <c r="K27" s="20"/>
      <c r="L27" s="21" t="s">
        <v>5</v>
      </c>
      <c r="M27" s="20">
        <v>98.96678692909461</v>
      </c>
      <c r="N27" s="20">
        <v>88.407188806651448</v>
      </c>
      <c r="O27" s="19">
        <v>45597</v>
      </c>
      <c r="P27" s="20"/>
      <c r="Q27" s="21" t="s">
        <v>5</v>
      </c>
      <c r="R27" s="20">
        <v>106.26871701391123</v>
      </c>
      <c r="S27" s="20">
        <v>109.51574454428008</v>
      </c>
      <c r="T27" s="46">
        <v>45597</v>
      </c>
      <c r="U27" s="51"/>
      <c r="V27" s="59">
        <v>92.153901372063345</v>
      </c>
      <c r="W27" s="58">
        <v>107.84609862793664</v>
      </c>
      <c r="X27" s="46">
        <v>45597</v>
      </c>
      <c r="Y27" s="51"/>
      <c r="Z27" s="42"/>
      <c r="AA27" s="21" t="s">
        <v>5</v>
      </c>
      <c r="AB27" s="20">
        <v>100.65717509965199</v>
      </c>
      <c r="AC27">
        <v>128.37747004320929</v>
      </c>
      <c r="AD27" s="19">
        <v>45597</v>
      </c>
    </row>
    <row r="28" spans="1:30" x14ac:dyDescent="0.25">
      <c r="A28" s="72"/>
      <c r="B28" s="21" t="s">
        <v>6</v>
      </c>
      <c r="C28" s="21">
        <f>1.45618202977966*100</f>
        <v>145.61820297796601</v>
      </c>
      <c r="D28" s="20">
        <f>1.57530102810201*100</f>
        <v>157.53010281020099</v>
      </c>
      <c r="E28" t="s">
        <v>32</v>
      </c>
      <c r="F28" s="20"/>
      <c r="G28" s="21" t="s">
        <v>6</v>
      </c>
      <c r="H28" s="21">
        <f>1.37020962252798*100</f>
        <v>137.020962252798</v>
      </c>
      <c r="I28" s="20">
        <f>1.41755424599023*100</f>
        <v>141.755424599023</v>
      </c>
      <c r="J28" t="s">
        <v>32</v>
      </c>
      <c r="K28" s="20"/>
      <c r="L28" s="21" t="s">
        <v>6</v>
      </c>
      <c r="M28" s="21">
        <f>1.15482116502537*100</f>
        <v>115.482116502537</v>
      </c>
      <c r="N28" s="20">
        <f>1.3765624241919*100</f>
        <v>137.65624241918999</v>
      </c>
      <c r="O28" t="s">
        <v>32</v>
      </c>
      <c r="P28" s="20"/>
      <c r="Q28" s="21" t="s">
        <v>6</v>
      </c>
      <c r="R28" s="21">
        <f>1.16156536157889*100</f>
        <v>116.15653615788899</v>
      </c>
      <c r="S28" s="20">
        <f>1.11807091268774*100</f>
        <v>111.807091268774</v>
      </c>
      <c r="T28" s="44" t="s">
        <v>32</v>
      </c>
      <c r="U28" s="41"/>
      <c r="V28" s="68">
        <v>0.92677860191230854</v>
      </c>
      <c r="W28" s="68">
        <v>1.0732213980876915</v>
      </c>
      <c r="X28" t="s">
        <v>32</v>
      </c>
      <c r="Y28" s="41"/>
      <c r="Z28" s="42"/>
      <c r="AA28" s="21" t="s">
        <v>6</v>
      </c>
      <c r="AB28" s="21">
        <f>1.03198288164345*100</f>
        <v>103.198288164345</v>
      </c>
      <c r="AC28">
        <f>1.18960867818849*100</f>
        <v>118.96086781884901</v>
      </c>
      <c r="AD28" t="s">
        <v>32</v>
      </c>
    </row>
    <row r="29" spans="1:30" x14ac:dyDescent="0.25">
      <c r="A29" s="21"/>
      <c r="B29" s="22" t="s">
        <v>7</v>
      </c>
      <c r="C29" s="18">
        <f>AVERAGE(C26:D28)</f>
        <v>136.04899164338187</v>
      </c>
      <c r="D29" s="20"/>
      <c r="E29" s="20"/>
      <c r="F29" s="20"/>
      <c r="G29" s="22" t="s">
        <v>7</v>
      </c>
      <c r="H29" s="18">
        <f>AVERAGE(H26:I28)</f>
        <v>121.77217316790352</v>
      </c>
      <c r="I29" s="20"/>
      <c r="J29" s="20"/>
      <c r="K29" s="20"/>
      <c r="L29" s="22" t="s">
        <v>7</v>
      </c>
      <c r="M29" s="18">
        <f>AVERAGE(M26:N28)</f>
        <v>108.08205119135846</v>
      </c>
      <c r="N29" s="20"/>
      <c r="O29" s="20"/>
      <c r="P29" s="20"/>
      <c r="Q29" s="22" t="s">
        <v>7</v>
      </c>
      <c r="R29" s="18">
        <f>AVERAGE(R26:S28)</f>
        <v>114.11608719847766</v>
      </c>
      <c r="S29" s="20"/>
      <c r="T29" s="47"/>
      <c r="U29" s="42"/>
      <c r="Y29" s="42"/>
      <c r="Z29" s="42"/>
      <c r="AA29" s="22" t="s">
        <v>7</v>
      </c>
      <c r="AB29" s="18">
        <f>AVERAGE(AB26:AC28)</f>
        <v>112.67644695268901</v>
      </c>
    </row>
    <row r="30" spans="1:30" x14ac:dyDescent="0.25">
      <c r="A30" s="21"/>
      <c r="B30" s="21" t="s">
        <v>8</v>
      </c>
      <c r="C30" s="18">
        <f>STDEV(C26:D28)</f>
        <v>15.363747501499949</v>
      </c>
      <c r="D30" s="20"/>
      <c r="E30" s="20"/>
      <c r="F30" s="20"/>
      <c r="G30" s="21" t="s">
        <v>8</v>
      </c>
      <c r="H30" s="18">
        <f>STDEV(H26:I28)</f>
        <v>17.162152735281005</v>
      </c>
      <c r="I30" s="20"/>
      <c r="J30" s="20"/>
      <c r="K30" s="20"/>
      <c r="L30" s="21" t="s">
        <v>8</v>
      </c>
      <c r="M30" s="18">
        <f>STDEV(M26:N28)</f>
        <v>16.978831179052239</v>
      </c>
      <c r="N30" s="20"/>
      <c r="O30" s="20"/>
      <c r="P30" s="20"/>
      <c r="Q30" s="21" t="s">
        <v>8</v>
      </c>
      <c r="R30" s="18">
        <f>STDEV(R26:S28)</f>
        <v>5.9045643810241293</v>
      </c>
      <c r="S30" s="20"/>
      <c r="T30" s="47"/>
      <c r="U30" s="42"/>
      <c r="Y30" s="42"/>
      <c r="Z30" s="42"/>
      <c r="AA30" s="21" t="s">
        <v>8</v>
      </c>
      <c r="AB30" s="18">
        <f>STDEV(AB26:AC28)</f>
        <v>12.061451402693132</v>
      </c>
    </row>
    <row r="31" spans="1:30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47"/>
      <c r="U31" s="42"/>
      <c r="Y31" s="42"/>
      <c r="Z31" s="42"/>
      <c r="AA31" s="20"/>
      <c r="AB31" s="20"/>
    </row>
    <row r="32" spans="1:30" ht="15.75" thickBot="1" x14ac:dyDescent="0.3">
      <c r="A32" s="22" t="s">
        <v>9</v>
      </c>
      <c r="B32" s="24"/>
      <c r="C32" s="24" t="s">
        <v>10</v>
      </c>
      <c r="D32" s="24" t="s">
        <v>11</v>
      </c>
      <c r="E32" s="24"/>
      <c r="F32" s="24"/>
      <c r="G32" s="24"/>
      <c r="H32" s="24" t="s">
        <v>10</v>
      </c>
      <c r="I32" s="24" t="s">
        <v>11</v>
      </c>
      <c r="J32" s="24"/>
      <c r="K32" s="24"/>
      <c r="L32" s="24"/>
      <c r="M32" s="24" t="s">
        <v>10</v>
      </c>
      <c r="N32" s="24" t="s">
        <v>11</v>
      </c>
      <c r="O32" s="24"/>
      <c r="P32" s="24"/>
      <c r="Q32" s="24"/>
      <c r="R32" s="24" t="s">
        <v>10</v>
      </c>
      <c r="S32" s="24" t="s">
        <v>11</v>
      </c>
      <c r="T32" s="47"/>
      <c r="U32" s="42"/>
      <c r="Y32" s="42"/>
      <c r="Z32" s="42"/>
      <c r="AA32" s="24"/>
      <c r="AB32" s="24" t="s">
        <v>10</v>
      </c>
      <c r="AC32" s="9" t="s">
        <v>11</v>
      </c>
    </row>
    <row r="33" spans="1:30" ht="15.75" thickBot="1" x14ac:dyDescent="0.3">
      <c r="A33" s="72" t="s">
        <v>12</v>
      </c>
      <c r="B33" s="21" t="s">
        <v>4</v>
      </c>
      <c r="C33" s="20">
        <v>109.95416053566571</v>
      </c>
      <c r="D33" s="20">
        <v>114.02933773305952</v>
      </c>
      <c r="E33" s="26" t="s">
        <v>28</v>
      </c>
      <c r="F33" s="20"/>
      <c r="G33" s="21" t="s">
        <v>4</v>
      </c>
      <c r="H33" s="20">
        <v>103.2663738454749</v>
      </c>
      <c r="I33" s="20">
        <v>114.20623052413616</v>
      </c>
      <c r="J33" s="26" t="s">
        <v>28</v>
      </c>
      <c r="K33" s="20"/>
      <c r="L33" s="21" t="s">
        <v>4</v>
      </c>
      <c r="M33" s="20">
        <v>93.61005679865805</v>
      </c>
      <c r="N33" s="20">
        <v>93.87492792711268</v>
      </c>
      <c r="O33" s="26" t="s">
        <v>28</v>
      </c>
      <c r="P33" s="20"/>
      <c r="Q33" s="21" t="s">
        <v>4</v>
      </c>
      <c r="R33" s="20">
        <v>101.12391789974508</v>
      </c>
      <c r="S33" s="20">
        <v>106.83230641202282</v>
      </c>
      <c r="T33" s="45" t="s">
        <v>28</v>
      </c>
      <c r="U33" s="50"/>
      <c r="V33" s="57">
        <v>102.49350748914721</v>
      </c>
      <c r="W33" s="58">
        <v>97.506492510852809</v>
      </c>
      <c r="X33" s="49" t="s">
        <v>28</v>
      </c>
      <c r="Y33" s="50"/>
      <c r="Z33" s="42"/>
      <c r="AA33" s="21" t="s">
        <v>4</v>
      </c>
      <c r="AB33" s="20">
        <v>97.97382824418591</v>
      </c>
      <c r="AC33">
        <v>94.027254211169449</v>
      </c>
      <c r="AD33" s="27" t="s">
        <v>28</v>
      </c>
    </row>
    <row r="34" spans="1:30" x14ac:dyDescent="0.25">
      <c r="A34" s="72"/>
      <c r="B34" s="21" t="s">
        <v>5</v>
      </c>
      <c r="C34" s="20">
        <v>113.73434801730382</v>
      </c>
      <c r="D34" s="20">
        <v>108.4044843542376</v>
      </c>
      <c r="E34" s="19">
        <v>45597</v>
      </c>
      <c r="F34" s="20"/>
      <c r="G34" s="21" t="s">
        <v>5</v>
      </c>
      <c r="H34" s="20">
        <v>116.19268791134283</v>
      </c>
      <c r="I34" s="20">
        <v>102.83733478767492</v>
      </c>
      <c r="J34" s="19">
        <v>45597</v>
      </c>
      <c r="K34" s="20"/>
      <c r="L34" s="21" t="s">
        <v>5</v>
      </c>
      <c r="M34" s="20">
        <v>98.585775720462152</v>
      </c>
      <c r="N34" s="20">
        <v>95.825001032196241</v>
      </c>
      <c r="O34" s="19">
        <v>45597</v>
      </c>
      <c r="P34" s="20"/>
      <c r="Q34" s="21" t="s">
        <v>5</v>
      </c>
      <c r="R34" s="20">
        <v>108.66633209348942</v>
      </c>
      <c r="S34" s="20">
        <v>116.9349935974145</v>
      </c>
      <c r="T34" s="46">
        <v>45597</v>
      </c>
      <c r="U34" s="51"/>
      <c r="V34" s="57">
        <v>98.716134401769111</v>
      </c>
      <c r="W34" s="58">
        <v>101.2838655982309</v>
      </c>
      <c r="X34" s="46">
        <v>45597</v>
      </c>
      <c r="Y34" s="51"/>
      <c r="Z34" s="42"/>
      <c r="AA34" s="21" t="s">
        <v>5</v>
      </c>
      <c r="AB34">
        <v>98.716134401769111</v>
      </c>
      <c r="AC34">
        <v>101.2838655982309</v>
      </c>
      <c r="AD34" s="19">
        <v>45597</v>
      </c>
    </row>
    <row r="35" spans="1:30" x14ac:dyDescent="0.25">
      <c r="A35" s="72"/>
      <c r="B35" s="21" t="s">
        <v>6</v>
      </c>
      <c r="C35" s="21">
        <f>1.11894727488794*100</f>
        <v>111.894727488794</v>
      </c>
      <c r="D35" s="20">
        <f>1.05484457608898*100</f>
        <v>105.484457608898</v>
      </c>
      <c r="E35" t="s">
        <v>32</v>
      </c>
      <c r="F35" s="20"/>
      <c r="G35" s="21" t="s">
        <v>6</v>
      </c>
      <c r="H35" s="21">
        <f>1.23366461906889*100</f>
        <v>123.366461906889</v>
      </c>
      <c r="I35" s="20">
        <f>1.32389027431086*100</f>
        <v>132.38902743108599</v>
      </c>
      <c r="J35" t="s">
        <v>32</v>
      </c>
      <c r="K35" s="20"/>
      <c r="L35" s="21" t="s">
        <v>6</v>
      </c>
      <c r="M35" s="21">
        <f>1.4142048815632*100</f>
        <v>141.42048815632</v>
      </c>
      <c r="N35" s="20">
        <f>1.32426117828076*100</f>
        <v>132.426117828076</v>
      </c>
      <c r="O35" t="s">
        <v>32</v>
      </c>
      <c r="P35" s="20"/>
      <c r="Q35" s="21" t="s">
        <v>6</v>
      </c>
      <c r="R35" s="21">
        <f>1.11709348669817*100</f>
        <v>111.709348669817</v>
      </c>
      <c r="S35" s="20">
        <f>1.08339471865024*100</f>
        <v>108.339471865024</v>
      </c>
      <c r="T35" s="44" t="s">
        <v>32</v>
      </c>
      <c r="U35" s="41"/>
      <c r="V35">
        <v>0.90350248565318236</v>
      </c>
      <c r="W35">
        <v>1.0964975143468179</v>
      </c>
      <c r="X35" t="s">
        <v>32</v>
      </c>
      <c r="Y35" s="41"/>
      <c r="Z35" s="42"/>
      <c r="AA35" s="21" t="s">
        <v>6</v>
      </c>
      <c r="AB35" s="20">
        <f>1.35469973412263*100</f>
        <v>135.46997341226299</v>
      </c>
      <c r="AC35">
        <f>1.15604586173221*100</f>
        <v>115.60458617322101</v>
      </c>
      <c r="AD35" t="s">
        <v>32</v>
      </c>
    </row>
    <row r="36" spans="1:30" x14ac:dyDescent="0.25">
      <c r="A36" s="21"/>
      <c r="B36" s="22" t="s">
        <v>7</v>
      </c>
      <c r="C36" s="18">
        <f>AVERAGE(C33:D35)</f>
        <v>110.58358595632643</v>
      </c>
      <c r="D36" s="20"/>
      <c r="E36" s="20"/>
      <c r="F36" s="20"/>
      <c r="G36" s="22" t="s">
        <v>7</v>
      </c>
      <c r="H36" s="18">
        <f>AVERAGE(H33:I35)</f>
        <v>115.37635273443396</v>
      </c>
      <c r="I36" s="20"/>
      <c r="J36" s="20"/>
      <c r="K36" s="20"/>
      <c r="L36" s="22" t="s">
        <v>7</v>
      </c>
      <c r="M36" s="18">
        <f>AVERAGE(M33:N35)</f>
        <v>109.29039457713752</v>
      </c>
      <c r="N36" s="20"/>
      <c r="O36" s="20"/>
      <c r="P36" s="20"/>
      <c r="Q36" s="22" t="s">
        <v>7</v>
      </c>
      <c r="R36" s="18">
        <f>AVERAGE(R33:S35)</f>
        <v>108.93439508958549</v>
      </c>
      <c r="S36" s="20"/>
      <c r="T36" s="47"/>
      <c r="U36" s="42"/>
      <c r="Y36" s="42"/>
      <c r="Z36" s="42"/>
      <c r="AA36" s="22" t="s">
        <v>7</v>
      </c>
      <c r="AB36" s="18">
        <f>AVERAGE(AB33:AC35)</f>
        <v>107.17927367347323</v>
      </c>
    </row>
    <row r="37" spans="1:30" x14ac:dyDescent="0.25">
      <c r="A37" s="21"/>
      <c r="B37" s="21" t="s">
        <v>8</v>
      </c>
      <c r="C37" s="18">
        <f>STDEV(C33:D35)</f>
        <v>3.3065198939629381</v>
      </c>
      <c r="D37" s="20"/>
      <c r="E37" s="20"/>
      <c r="F37" s="20"/>
      <c r="G37" s="21" t="s">
        <v>8</v>
      </c>
      <c r="H37" s="18">
        <f>STDEV(H33:I35)</f>
        <v>11.482047672694316</v>
      </c>
      <c r="I37" s="20"/>
      <c r="J37" s="20"/>
      <c r="K37" s="20"/>
      <c r="L37" s="21" t="s">
        <v>8</v>
      </c>
      <c r="M37" s="18">
        <f>STDEV(M33:N35)</f>
        <v>21.665732837008431</v>
      </c>
      <c r="N37" s="20"/>
      <c r="O37" s="20"/>
      <c r="P37" s="20"/>
      <c r="Q37" s="21" t="s">
        <v>8</v>
      </c>
      <c r="R37" s="18">
        <f>STDEV(R33:S35)</f>
        <v>5.2451513993452794</v>
      </c>
      <c r="S37" s="20"/>
      <c r="T37" s="47"/>
      <c r="U37" s="42"/>
      <c r="Y37" s="42"/>
      <c r="Z37" s="42"/>
      <c r="AA37" s="21" t="s">
        <v>8</v>
      </c>
      <c r="AB37" s="18">
        <f>STDEV(AB33:AC35)</f>
        <v>15.719071134281736</v>
      </c>
    </row>
    <row r="38" spans="1:30" x14ac:dyDescent="0.25">
      <c r="A38" s="21"/>
      <c r="B38" s="21"/>
      <c r="C38" s="21"/>
      <c r="D38" s="20"/>
      <c r="E38" s="20"/>
      <c r="F38" s="20"/>
      <c r="G38" s="21"/>
      <c r="H38" s="21"/>
      <c r="I38" s="20"/>
      <c r="J38" s="20"/>
      <c r="K38" s="20"/>
      <c r="L38" s="21"/>
      <c r="M38" s="21"/>
      <c r="N38" s="20"/>
      <c r="O38" s="20"/>
      <c r="P38" s="20"/>
      <c r="Q38" s="21"/>
      <c r="R38" s="21"/>
      <c r="S38" s="20"/>
      <c r="T38" s="47"/>
      <c r="U38" s="42"/>
      <c r="Y38" s="42"/>
      <c r="Z38" s="42"/>
      <c r="AA38" s="20"/>
      <c r="AB38" s="20"/>
    </row>
    <row r="39" spans="1:30" x14ac:dyDescent="0.25">
      <c r="A39" s="22" t="s">
        <v>9</v>
      </c>
      <c r="B39" s="24"/>
      <c r="C39" s="24" t="s">
        <v>10</v>
      </c>
      <c r="D39" s="24" t="s">
        <v>11</v>
      </c>
      <c r="E39" s="24"/>
      <c r="F39" s="24"/>
      <c r="G39" s="24"/>
      <c r="H39" s="24" t="s">
        <v>10</v>
      </c>
      <c r="I39" s="24" t="s">
        <v>11</v>
      </c>
      <c r="J39" s="24"/>
      <c r="K39" s="24"/>
      <c r="L39" s="24"/>
      <c r="M39" s="24" t="s">
        <v>10</v>
      </c>
      <c r="N39" s="24" t="s">
        <v>11</v>
      </c>
      <c r="O39" s="24"/>
      <c r="P39" s="24"/>
      <c r="Q39" s="24"/>
      <c r="R39" s="24" t="s">
        <v>10</v>
      </c>
      <c r="S39" s="24" t="s">
        <v>11</v>
      </c>
      <c r="T39" s="47"/>
      <c r="U39" s="42"/>
      <c r="Y39" s="42"/>
      <c r="Z39" s="42"/>
      <c r="AA39" s="24"/>
      <c r="AB39" s="24" t="s">
        <v>10</v>
      </c>
      <c r="AC39" s="9" t="s">
        <v>11</v>
      </c>
    </row>
    <row r="40" spans="1:30" x14ac:dyDescent="0.25">
      <c r="A40" s="72" t="s">
        <v>13</v>
      </c>
      <c r="B40" s="21" t="s">
        <v>4</v>
      </c>
      <c r="C40" s="28">
        <v>146.09339614200766</v>
      </c>
      <c r="D40" s="28">
        <v>152.87454032326002</v>
      </c>
      <c r="E40" s="27" t="s">
        <v>28</v>
      </c>
      <c r="F40" s="20"/>
      <c r="G40" s="21" t="s">
        <v>4</v>
      </c>
      <c r="H40" s="28">
        <v>142.99121465131199</v>
      </c>
      <c r="I40" s="28">
        <v>144.77288686176547</v>
      </c>
      <c r="J40" s="28" t="s">
        <v>28</v>
      </c>
      <c r="K40" s="20"/>
      <c r="L40" s="21" t="s">
        <v>4</v>
      </c>
      <c r="M40" s="29">
        <v>90.010032704296151</v>
      </c>
      <c r="N40" s="29">
        <v>91.171016795025665</v>
      </c>
      <c r="O40" s="27" t="s">
        <v>28</v>
      </c>
      <c r="P40" s="20"/>
      <c r="Q40" s="21" t="s">
        <v>4</v>
      </c>
      <c r="R40" s="28">
        <v>150.79867219724957</v>
      </c>
      <c r="S40" s="28">
        <v>176.13019017771504</v>
      </c>
      <c r="T40" s="45" t="s">
        <v>28</v>
      </c>
      <c r="U40" s="50"/>
      <c r="V40" s="59">
        <v>95.254929904610435</v>
      </c>
      <c r="W40" s="58">
        <v>104.74507009538956</v>
      </c>
      <c r="X40" s="49" t="s">
        <v>28</v>
      </c>
      <c r="Y40" s="50"/>
      <c r="Z40" s="42"/>
      <c r="AA40" s="21" t="s">
        <v>4</v>
      </c>
      <c r="AB40" s="20">
        <v>104.11170975324468</v>
      </c>
      <c r="AC40">
        <v>79.735193726130888</v>
      </c>
      <c r="AD40" s="27" t="s">
        <v>28</v>
      </c>
    </row>
    <row r="41" spans="1:30" x14ac:dyDescent="0.25">
      <c r="A41" s="72"/>
      <c r="B41" s="21" t="s">
        <v>5</v>
      </c>
      <c r="C41" s="37">
        <v>132.19124829165088</v>
      </c>
      <c r="D41" s="37">
        <v>142.56490029297518</v>
      </c>
      <c r="E41" s="19">
        <v>45597</v>
      </c>
      <c r="F41" s="20"/>
      <c r="G41" s="21" t="s">
        <v>5</v>
      </c>
      <c r="H41" s="37">
        <v>126.99800368487075</v>
      </c>
      <c r="I41" s="37">
        <v>134.424930738184</v>
      </c>
      <c r="J41" s="19">
        <v>45597</v>
      </c>
      <c r="K41" s="20"/>
      <c r="L41" s="21" t="s">
        <v>5</v>
      </c>
      <c r="M41" s="20">
        <v>107.8943659299081</v>
      </c>
      <c r="N41" s="20">
        <v>106.87694977641853</v>
      </c>
      <c r="O41" s="19">
        <v>45597</v>
      </c>
      <c r="P41" s="20"/>
      <c r="Q41" s="21" t="s">
        <v>5</v>
      </c>
      <c r="R41" s="20">
        <v>100.70388154584737</v>
      </c>
      <c r="S41" s="20">
        <v>106.88944931191153</v>
      </c>
      <c r="T41" s="46">
        <v>45597</v>
      </c>
      <c r="U41" s="51"/>
      <c r="V41" s="59">
        <v>89.250259064782682</v>
      </c>
      <c r="W41" s="58">
        <v>110.21902900770981</v>
      </c>
      <c r="X41" s="46">
        <v>45597</v>
      </c>
      <c r="Y41" s="51"/>
      <c r="Z41" s="42"/>
      <c r="AA41" s="21" t="s">
        <v>5</v>
      </c>
      <c r="AB41" s="20">
        <v>100.92951399403591</v>
      </c>
      <c r="AC41">
        <v>99.070486005964071</v>
      </c>
      <c r="AD41" s="19">
        <v>45597</v>
      </c>
    </row>
    <row r="42" spans="1:30" x14ac:dyDescent="0.25">
      <c r="A42" s="72"/>
      <c r="B42" s="21" t="s">
        <v>6</v>
      </c>
      <c r="C42" s="21">
        <f>1.17716331424745*100</f>
        <v>117.71633142474501</v>
      </c>
      <c r="D42" s="20">
        <f>1.30700565967652*100</f>
        <v>130.70056596765201</v>
      </c>
      <c r="E42" t="s">
        <v>32</v>
      </c>
      <c r="F42" s="20"/>
      <c r="G42" s="21" t="s">
        <v>6</v>
      </c>
      <c r="H42" s="21">
        <f>1.11664586600745*100</f>
        <v>111.66458660074501</v>
      </c>
      <c r="I42" s="20">
        <f>1.01142953542124*100</f>
        <v>101.14295354212399</v>
      </c>
      <c r="J42" t="s">
        <v>32</v>
      </c>
      <c r="K42" s="20"/>
      <c r="L42" s="21" t="s">
        <v>6</v>
      </c>
      <c r="M42" s="21">
        <f>1.39048132500061*100</f>
        <v>139.048132500061</v>
      </c>
      <c r="N42" s="20">
        <f>1.19252362012327*100</f>
        <v>119.25236201232701</v>
      </c>
      <c r="O42" t="s">
        <v>32</v>
      </c>
      <c r="P42" s="20"/>
      <c r="Q42" s="21" t="s">
        <v>6</v>
      </c>
      <c r="R42" s="21">
        <f>1.08564192664836*100</f>
        <v>108.56419266483599</v>
      </c>
      <c r="S42" s="20">
        <f>1.13136232176153*100</f>
        <v>113.136232176153</v>
      </c>
      <c r="T42" s="44" t="s">
        <v>32</v>
      </c>
      <c r="U42" s="41"/>
      <c r="V42">
        <v>0.94295297650775478</v>
      </c>
      <c r="W42">
        <v>1.0570470234922451</v>
      </c>
      <c r="X42" t="s">
        <v>32</v>
      </c>
      <c r="Y42" s="41"/>
      <c r="Z42" s="42"/>
      <c r="AA42" s="21" t="s">
        <v>6</v>
      </c>
      <c r="AB42" s="21">
        <f>1.0799657158668*100</f>
        <v>107.99657158667999</v>
      </c>
      <c r="AC42">
        <f>1.17022743346762*100</f>
        <v>117.022743346762</v>
      </c>
      <c r="AD42" t="s">
        <v>32</v>
      </c>
    </row>
    <row r="43" spans="1:30" x14ac:dyDescent="0.25">
      <c r="A43" s="21"/>
      <c r="B43" s="22" t="s">
        <v>7</v>
      </c>
      <c r="C43" s="18">
        <f>AVERAGE(C40:D42)</f>
        <v>137.02349707371513</v>
      </c>
      <c r="D43" s="20"/>
      <c r="E43" s="20"/>
      <c r="F43" s="20"/>
      <c r="G43" s="22" t="s">
        <v>7</v>
      </c>
      <c r="H43" s="18">
        <f>AVERAGE(H40:I42)</f>
        <v>126.99909601316686</v>
      </c>
      <c r="I43" s="20"/>
      <c r="K43" s="20"/>
      <c r="L43" s="22" t="s">
        <v>7</v>
      </c>
      <c r="M43" s="18">
        <f>AVERAGE(M40:N42)</f>
        <v>109.04214328633941</v>
      </c>
      <c r="N43" s="20"/>
      <c r="O43" s="20"/>
      <c r="P43" s="20"/>
      <c r="Q43" s="22" t="s">
        <v>7</v>
      </c>
      <c r="R43" s="18">
        <f>AVERAGE(R40:S42)</f>
        <v>126.03710301228544</v>
      </c>
      <c r="S43" s="20"/>
      <c r="T43" s="47"/>
      <c r="U43" s="42"/>
      <c r="Y43" s="42"/>
      <c r="Z43" s="42"/>
      <c r="AA43" s="22" t="s">
        <v>7</v>
      </c>
      <c r="AB43" s="18">
        <f>AVERAGE(AB40:AC42)</f>
        <v>101.47770306880291</v>
      </c>
    </row>
    <row r="44" spans="1:30" x14ac:dyDescent="0.25">
      <c r="A44" s="21"/>
      <c r="B44" s="21" t="s">
        <v>8</v>
      </c>
      <c r="C44" s="18">
        <f>STDEV(C40:D42)</f>
        <v>12.651660146454583</v>
      </c>
      <c r="D44" s="20"/>
      <c r="E44" s="20"/>
      <c r="F44" s="20"/>
      <c r="G44" s="21" t="s">
        <v>8</v>
      </c>
      <c r="H44" s="18">
        <f>STDEV(H40:I42)</f>
        <v>17.495632624316467</v>
      </c>
      <c r="I44" s="20"/>
      <c r="J44" s="20"/>
      <c r="K44" s="20"/>
      <c r="L44" s="21" t="s">
        <v>8</v>
      </c>
      <c r="M44" s="18">
        <f>STDEV(M40:N42)</f>
        <v>18.396803016815127</v>
      </c>
      <c r="N44" s="20"/>
      <c r="O44" s="20"/>
      <c r="P44" s="20"/>
      <c r="Q44" s="21" t="s">
        <v>8</v>
      </c>
      <c r="R44" s="18">
        <f>STDEV(R40:S42)</f>
        <v>30.340047813748363</v>
      </c>
      <c r="S44" s="20"/>
      <c r="T44" s="47"/>
      <c r="U44" s="42"/>
      <c r="Y44" s="42"/>
      <c r="Z44" s="42"/>
      <c r="AA44" s="21" t="s">
        <v>8</v>
      </c>
      <c r="AB44" s="18">
        <f>STDEV(AB40:AC42)</f>
        <v>12.408979272896884</v>
      </c>
    </row>
    <row r="45" spans="1:30" x14ac:dyDescent="0.25">
      <c r="T45" s="44"/>
      <c r="U45" s="41"/>
      <c r="Y45" s="41"/>
    </row>
    <row r="46" spans="1:30" x14ac:dyDescent="0.25">
      <c r="T46" s="44"/>
      <c r="U46" s="41"/>
      <c r="Y46" s="41"/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T44"/>
  <sheetViews>
    <sheetView topLeftCell="A10" zoomScaleNormal="100" workbookViewId="0">
      <selection activeCell="H40" sqref="G40:H42"/>
    </sheetView>
  </sheetViews>
  <sheetFormatPr defaultRowHeight="15" x14ac:dyDescent="0.25"/>
  <cols>
    <col min="5" max="5" width="9.7109375" bestFit="1" customWidth="1"/>
    <col min="7" max="8" width="10.140625" bestFit="1" customWidth="1"/>
  </cols>
  <sheetData>
    <row r="1" spans="1:20" s="2" customFormat="1" ht="20.25" thickBot="1" x14ac:dyDescent="0.35">
      <c r="A1" s="1" t="s">
        <v>19</v>
      </c>
    </row>
    <row r="2" spans="1:20" ht="15.75" thickTop="1" x14ac:dyDescent="0.25">
      <c r="C2" s="11">
        <v>1</v>
      </c>
      <c r="D2" t="s">
        <v>1</v>
      </c>
      <c r="E2" t="s">
        <v>2</v>
      </c>
      <c r="G2" t="s">
        <v>34</v>
      </c>
      <c r="I2" t="s">
        <v>2</v>
      </c>
    </row>
    <row r="3" spans="1:20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 t="s">
        <v>10</v>
      </c>
      <c r="H3" s="9" t="s">
        <v>11</v>
      </c>
      <c r="J3" s="9"/>
      <c r="K3" s="9"/>
      <c r="L3" s="9"/>
      <c r="M3" s="9"/>
      <c r="N3" s="9"/>
      <c r="O3" s="9"/>
      <c r="P3" s="9"/>
      <c r="Q3" s="9"/>
      <c r="R3" s="9"/>
      <c r="S3" s="9"/>
    </row>
    <row r="4" spans="1:20" x14ac:dyDescent="0.25">
      <c r="A4" s="71" t="s">
        <v>12</v>
      </c>
      <c r="B4" s="3" t="s">
        <v>4</v>
      </c>
      <c r="C4">
        <v>0.77621760385821859</v>
      </c>
      <c r="D4">
        <v>0.78909202749443508</v>
      </c>
      <c r="E4" s="4" t="s">
        <v>25</v>
      </c>
      <c r="G4" s="66">
        <v>1.023701311026217</v>
      </c>
      <c r="H4" s="66">
        <v>0.97629868897378302</v>
      </c>
      <c r="I4" t="s">
        <v>25</v>
      </c>
      <c r="J4" s="4"/>
      <c r="L4" s="3"/>
      <c r="O4" s="4"/>
      <c r="Q4" s="3"/>
      <c r="T4" s="4"/>
    </row>
    <row r="5" spans="1:20" x14ac:dyDescent="0.25">
      <c r="A5" s="71"/>
      <c r="B5" s="3" t="s">
        <v>5</v>
      </c>
      <c r="C5">
        <v>0.81792402302003098</v>
      </c>
      <c r="D5">
        <v>0.84813095917355874</v>
      </c>
      <c r="E5" s="5">
        <v>45446</v>
      </c>
      <c r="G5" s="66">
        <v>0.97427427535839484</v>
      </c>
      <c r="H5" s="66">
        <v>1.0257257246416052</v>
      </c>
      <c r="I5" s="5">
        <v>45446</v>
      </c>
      <c r="L5" s="3"/>
      <c r="Q5" s="3"/>
    </row>
    <row r="6" spans="1:20" x14ac:dyDescent="0.25">
      <c r="A6" s="71"/>
      <c r="B6" s="3" t="s">
        <v>6</v>
      </c>
      <c r="C6">
        <v>0.71008936969926129</v>
      </c>
      <c r="D6">
        <v>0.70477786025584532</v>
      </c>
      <c r="E6" s="5" t="s">
        <v>14</v>
      </c>
      <c r="G6" s="66">
        <v>0.98600854607209376</v>
      </c>
      <c r="H6" s="66">
        <v>1.0139914539279062</v>
      </c>
      <c r="I6" s="5" t="s">
        <v>14</v>
      </c>
      <c r="J6" s="5"/>
      <c r="L6" s="3"/>
      <c r="M6" s="8"/>
      <c r="N6" s="8"/>
      <c r="O6" s="5"/>
      <c r="Q6" s="3"/>
      <c r="T6" s="5"/>
    </row>
    <row r="7" spans="1:20" x14ac:dyDescent="0.25">
      <c r="A7" s="3"/>
      <c r="B7" s="6" t="s">
        <v>7</v>
      </c>
      <c r="C7" s="8">
        <f>AVERAGE(C4:D6)</f>
        <v>0.77437197391689161</v>
      </c>
      <c r="L7" s="6"/>
      <c r="M7" s="8"/>
      <c r="Q7" s="6"/>
      <c r="R7" s="8"/>
    </row>
    <row r="8" spans="1:20" x14ac:dyDescent="0.25">
      <c r="A8" s="3"/>
      <c r="B8" s="3" t="s">
        <v>8</v>
      </c>
      <c r="C8" s="10">
        <f>STDEV(C4:D6)</f>
        <v>5.7502780933879553E-2</v>
      </c>
      <c r="L8" s="3"/>
      <c r="M8" s="10"/>
      <c r="Q8" s="3"/>
      <c r="R8" s="10"/>
    </row>
    <row r="9" spans="1:20" x14ac:dyDescent="0.25">
      <c r="A9" s="3"/>
      <c r="B9" s="3"/>
      <c r="C9" s="7"/>
      <c r="L9" s="3"/>
      <c r="M9" s="7"/>
      <c r="Q9" s="3"/>
      <c r="R9" s="7"/>
    </row>
    <row r="10" spans="1:20" x14ac:dyDescent="0.25">
      <c r="A10" s="6" t="s">
        <v>3</v>
      </c>
      <c r="B10" s="9"/>
      <c r="C10" s="9" t="s">
        <v>10</v>
      </c>
      <c r="D10" s="9" t="s">
        <v>11</v>
      </c>
      <c r="E10" s="9"/>
      <c r="F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20" x14ac:dyDescent="0.25">
      <c r="A11" s="71" t="s">
        <v>13</v>
      </c>
      <c r="B11" s="3" t="s">
        <v>4</v>
      </c>
      <c r="C11">
        <v>0.55532457609656338</v>
      </c>
      <c r="D11">
        <v>0.61365944113762527</v>
      </c>
      <c r="E11" s="4" t="s">
        <v>25</v>
      </c>
      <c r="G11" s="66">
        <v>1.042329104937695</v>
      </c>
      <c r="H11" s="66">
        <v>0.95767089506230507</v>
      </c>
      <c r="I11" t="s">
        <v>25</v>
      </c>
      <c r="J11" s="4"/>
      <c r="L11" s="3"/>
      <c r="O11" s="4"/>
      <c r="Q11" s="3"/>
      <c r="T11" s="4"/>
    </row>
    <row r="12" spans="1:20" x14ac:dyDescent="0.25">
      <c r="A12" s="71"/>
      <c r="B12" s="3" t="s">
        <v>5</v>
      </c>
      <c r="C12">
        <v>0.8002305184760492</v>
      </c>
      <c r="D12">
        <v>0.92001042136689648</v>
      </c>
      <c r="E12" s="5">
        <v>45446</v>
      </c>
      <c r="G12" s="66">
        <v>0.91248810427604488</v>
      </c>
      <c r="H12" s="66">
        <v>1.0875118957239549</v>
      </c>
      <c r="I12" s="5">
        <v>45446</v>
      </c>
      <c r="L12" s="3"/>
      <c r="Q12" s="3"/>
    </row>
    <row r="13" spans="1:20" x14ac:dyDescent="0.25">
      <c r="A13" s="71"/>
      <c r="B13" s="3" t="s">
        <v>6</v>
      </c>
      <c r="C13">
        <v>0.79128761755024035</v>
      </c>
      <c r="D13">
        <v>0.98984938355117269</v>
      </c>
      <c r="E13" s="5" t="s">
        <v>14</v>
      </c>
      <c r="G13" s="66">
        <v>0.92514994271851203</v>
      </c>
      <c r="H13" s="66">
        <v>1.0748500572814881</v>
      </c>
      <c r="I13" s="5" t="s">
        <v>14</v>
      </c>
      <c r="J13" s="5"/>
      <c r="L13" s="3"/>
      <c r="M13" s="8"/>
      <c r="N13" s="8"/>
      <c r="O13" s="5"/>
      <c r="Q13" s="3"/>
      <c r="T13" s="5"/>
    </row>
    <row r="14" spans="1:20" x14ac:dyDescent="0.25">
      <c r="A14" s="3"/>
      <c r="B14" s="6" t="s">
        <v>7</v>
      </c>
      <c r="C14" s="8">
        <f>AVERAGE(C11:D13)</f>
        <v>0.7783936596964246</v>
      </c>
      <c r="L14" s="6"/>
      <c r="M14" s="8"/>
      <c r="Q14" s="6"/>
      <c r="R14" s="8"/>
    </row>
    <row r="15" spans="1:20" x14ac:dyDescent="0.25">
      <c r="A15" s="3"/>
      <c r="B15" s="3" t="s">
        <v>8</v>
      </c>
      <c r="C15" s="10">
        <f>STDEV(C11:D13)</f>
        <v>0.16870631980440076</v>
      </c>
      <c r="L15" s="3"/>
      <c r="M15" s="10"/>
      <c r="Q15" s="3"/>
      <c r="R15" s="10"/>
    </row>
    <row r="16" spans="1:20" x14ac:dyDescent="0.25">
      <c r="A16" s="3"/>
      <c r="B16" s="3"/>
      <c r="C16" s="7"/>
      <c r="L16" s="3"/>
      <c r="M16" s="7"/>
      <c r="Q16" s="3"/>
      <c r="R16" s="7"/>
      <c r="T16" s="5"/>
    </row>
    <row r="18" spans="1:20" x14ac:dyDescent="0.25">
      <c r="A18" s="6" t="s">
        <v>15</v>
      </c>
      <c r="B18" s="9"/>
      <c r="C18" s="9" t="s">
        <v>10</v>
      </c>
      <c r="D18" s="9" t="s">
        <v>11</v>
      </c>
      <c r="E18" s="9"/>
      <c r="F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4"/>
    </row>
    <row r="19" spans="1:20" x14ac:dyDescent="0.25">
      <c r="A19" s="71" t="s">
        <v>12</v>
      </c>
      <c r="B19" s="3" t="s">
        <v>4</v>
      </c>
      <c r="C19">
        <v>1.1471587849810168</v>
      </c>
      <c r="D19">
        <v>1.0486988924247749</v>
      </c>
      <c r="E19" s="4" t="s">
        <v>25</v>
      </c>
      <c r="G19" s="66">
        <v>1.0336522283364085</v>
      </c>
      <c r="H19" s="66">
        <v>0.96634777166359154</v>
      </c>
      <c r="I19" t="s">
        <v>25</v>
      </c>
      <c r="J19" s="4"/>
      <c r="L19" s="3"/>
      <c r="O19" s="4"/>
      <c r="Q19" s="3"/>
    </row>
    <row r="20" spans="1:20" x14ac:dyDescent="0.25">
      <c r="A20" s="71"/>
      <c r="B20" s="3" t="s">
        <v>5</v>
      </c>
      <c r="C20">
        <v>0.93730316147402504</v>
      </c>
      <c r="D20">
        <v>0.83088780343928914</v>
      </c>
      <c r="E20" s="5">
        <v>45446</v>
      </c>
      <c r="G20" s="66">
        <v>1.0177692871823194</v>
      </c>
      <c r="H20" s="66">
        <v>0.9822307128176806</v>
      </c>
      <c r="I20" s="5">
        <v>45446</v>
      </c>
      <c r="L20" s="3"/>
      <c r="Q20" s="3"/>
      <c r="T20" s="5"/>
    </row>
    <row r="21" spans="1:20" x14ac:dyDescent="0.25">
      <c r="A21" s="71"/>
      <c r="B21" s="3" t="s">
        <v>6</v>
      </c>
      <c r="C21" s="3">
        <v>0.69597260182775</v>
      </c>
      <c r="D21">
        <v>0.60723708824338596</v>
      </c>
      <c r="E21" s="5" t="s">
        <v>14</v>
      </c>
      <c r="G21" s="66">
        <v>0.91487054106515908</v>
      </c>
      <c r="H21" s="66">
        <v>1.085129458934841</v>
      </c>
      <c r="I21" s="5" t="s">
        <v>14</v>
      </c>
      <c r="J21" s="5"/>
      <c r="L21" s="3"/>
      <c r="O21" s="5"/>
      <c r="Q21" s="3"/>
      <c r="T21" s="5"/>
    </row>
    <row r="22" spans="1:20" x14ac:dyDescent="0.25">
      <c r="A22" s="3"/>
      <c r="B22" s="6" t="s">
        <v>7</v>
      </c>
      <c r="C22" s="8">
        <f>AVERAGE(C19:D21)</f>
        <v>0.87787638873170692</v>
      </c>
      <c r="G22" s="66"/>
      <c r="H22" s="66"/>
      <c r="L22" s="6"/>
      <c r="M22" s="8"/>
      <c r="Q22" s="6"/>
      <c r="R22" s="8"/>
    </row>
    <row r="23" spans="1:20" x14ac:dyDescent="0.25">
      <c r="A23" s="3"/>
      <c r="B23" s="3" t="s">
        <v>8</v>
      </c>
      <c r="C23" s="10">
        <f>STDEV(C19:D21)</f>
        <v>0.20676915815609281</v>
      </c>
      <c r="G23" s="66"/>
      <c r="H23" s="66"/>
      <c r="L23" s="3"/>
      <c r="M23" s="10"/>
      <c r="Q23" s="3"/>
      <c r="R23" s="10"/>
    </row>
    <row r="24" spans="1:20" x14ac:dyDescent="0.25">
      <c r="A24" s="3"/>
      <c r="B24" s="3"/>
      <c r="E24" s="5"/>
      <c r="G24" s="66"/>
      <c r="H24" s="66"/>
      <c r="J24" s="5"/>
      <c r="L24" s="3"/>
      <c r="M24" s="8"/>
      <c r="N24" s="8"/>
      <c r="O24" s="5"/>
      <c r="Q24" s="3"/>
    </row>
    <row r="25" spans="1:20" x14ac:dyDescent="0.25">
      <c r="A25" s="6" t="s">
        <v>15</v>
      </c>
      <c r="B25" s="9"/>
      <c r="C25" s="9" t="s">
        <v>10</v>
      </c>
      <c r="D25" s="9" t="s">
        <v>11</v>
      </c>
      <c r="E25" s="9"/>
      <c r="F25" s="9"/>
      <c r="G25" s="66"/>
      <c r="H25" s="66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 x14ac:dyDescent="0.25">
      <c r="A26" s="71" t="s">
        <v>13</v>
      </c>
      <c r="B26" s="3" t="s">
        <v>4</v>
      </c>
      <c r="C26">
        <v>0.84816350478235503</v>
      </c>
      <c r="D26">
        <v>0.94049444745773103</v>
      </c>
      <c r="E26" s="4" t="s">
        <v>25</v>
      </c>
      <c r="G26" s="66">
        <v>1.0134768085896038</v>
      </c>
      <c r="H26" s="66">
        <v>0.98652319141039613</v>
      </c>
      <c r="I26" t="s">
        <v>25</v>
      </c>
      <c r="J26" s="4"/>
      <c r="L26" s="3"/>
      <c r="O26" s="4"/>
      <c r="Q26" s="3"/>
    </row>
    <row r="27" spans="1:20" x14ac:dyDescent="0.25">
      <c r="A27" s="71"/>
      <c r="B27" s="3" t="s">
        <v>5</v>
      </c>
      <c r="C27">
        <v>0.89019339442036483</v>
      </c>
      <c r="D27">
        <v>0.9443865575773287</v>
      </c>
      <c r="E27" s="5">
        <v>45446</v>
      </c>
      <c r="G27" s="66">
        <v>0.95249665946337125</v>
      </c>
      <c r="H27" s="66">
        <v>1.0475033405366285</v>
      </c>
      <c r="I27" s="5">
        <v>45446</v>
      </c>
      <c r="L27" s="3"/>
      <c r="Q27" s="3"/>
    </row>
    <row r="28" spans="1:20" x14ac:dyDescent="0.25">
      <c r="A28" s="71"/>
      <c r="B28" s="3" t="s">
        <v>6</v>
      </c>
      <c r="C28" s="3">
        <v>0.52013909462891461</v>
      </c>
      <c r="D28">
        <v>0.70198830425610337</v>
      </c>
      <c r="E28" s="5" t="s">
        <v>14</v>
      </c>
      <c r="G28" s="66">
        <v>0.96991181945608407</v>
      </c>
      <c r="H28" s="66">
        <v>1.0300881805439159</v>
      </c>
      <c r="I28" s="5" t="s">
        <v>14</v>
      </c>
      <c r="J28" s="5"/>
      <c r="L28" s="3"/>
      <c r="M28" s="3"/>
      <c r="O28" s="5"/>
      <c r="Q28" s="3"/>
      <c r="R28" s="3"/>
      <c r="T28" s="5"/>
    </row>
    <row r="29" spans="1:20" x14ac:dyDescent="0.25">
      <c r="A29" s="3"/>
      <c r="B29" s="6" t="s">
        <v>7</v>
      </c>
      <c r="C29" s="8">
        <f>AVERAGE(C26:D28)</f>
        <v>0.80756088385379954</v>
      </c>
      <c r="L29" s="6"/>
      <c r="M29" s="8"/>
      <c r="Q29" s="6"/>
      <c r="R29" s="8"/>
    </row>
    <row r="30" spans="1:20" x14ac:dyDescent="0.25">
      <c r="A30" s="3"/>
      <c r="B30" s="3" t="s">
        <v>8</v>
      </c>
      <c r="C30" s="10">
        <f>STDEV(C26:D28)</f>
        <v>0.16650895257329892</v>
      </c>
      <c r="L30" s="3"/>
      <c r="M30" s="10"/>
      <c r="Q30" s="3"/>
      <c r="R30" s="10"/>
    </row>
    <row r="32" spans="1:20" x14ac:dyDescent="0.25">
      <c r="A32" s="6" t="s">
        <v>9</v>
      </c>
      <c r="B32" s="9"/>
      <c r="C32" s="9" t="s">
        <v>10</v>
      </c>
      <c r="D32" s="9" t="s">
        <v>11</v>
      </c>
      <c r="E32" s="9"/>
      <c r="F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 x14ac:dyDescent="0.25">
      <c r="A33" s="71" t="s">
        <v>12</v>
      </c>
      <c r="B33" s="3" t="s">
        <v>4</v>
      </c>
      <c r="C33">
        <v>0.85261939126044406</v>
      </c>
      <c r="D33">
        <v>0.87932677237870172</v>
      </c>
      <c r="E33" s="4" t="s">
        <v>25</v>
      </c>
      <c r="G33" s="66">
        <v>1.0483413308573692</v>
      </c>
      <c r="H33" s="66">
        <v>0.95165866914263064</v>
      </c>
      <c r="I33" t="s">
        <v>25</v>
      </c>
      <c r="J33" s="4"/>
      <c r="L33" s="3"/>
      <c r="O33" s="4"/>
      <c r="Q33" s="3"/>
    </row>
    <row r="34" spans="1:20" x14ac:dyDescent="0.25">
      <c r="A34" s="71"/>
      <c r="B34" s="3" t="s">
        <v>5</v>
      </c>
      <c r="C34">
        <v>0.91476781595827095</v>
      </c>
      <c r="D34">
        <v>0.9785621412733202</v>
      </c>
      <c r="E34" s="5">
        <v>45446</v>
      </c>
      <c r="G34" s="66">
        <v>1.0282035732611841</v>
      </c>
      <c r="H34" s="66">
        <v>0.97179642673881605</v>
      </c>
      <c r="I34" s="5">
        <v>45446</v>
      </c>
      <c r="L34" s="3"/>
      <c r="Q34" s="3"/>
    </row>
    <row r="35" spans="1:20" x14ac:dyDescent="0.25">
      <c r="A35" s="71"/>
      <c r="B35" s="3" t="s">
        <v>6</v>
      </c>
      <c r="C35" s="3">
        <v>0.76512849479759137</v>
      </c>
      <c r="D35">
        <v>0.81834708319001515</v>
      </c>
      <c r="E35" s="5" t="s">
        <v>14</v>
      </c>
      <c r="G35" s="66">
        <v>0.98040359834670554</v>
      </c>
      <c r="H35" s="66">
        <v>1.0195964016532946</v>
      </c>
      <c r="I35" s="5" t="s">
        <v>14</v>
      </c>
      <c r="J35" s="5"/>
      <c r="L35" s="3"/>
      <c r="M35" s="3"/>
      <c r="O35" s="5"/>
      <c r="Q35" s="3"/>
      <c r="R35" s="3"/>
      <c r="T35" s="5"/>
    </row>
    <row r="36" spans="1:20" x14ac:dyDescent="0.25">
      <c r="A36" s="3"/>
      <c r="B36" s="6" t="s">
        <v>7</v>
      </c>
      <c r="C36" s="8">
        <f>AVERAGE(C33:D35)</f>
        <v>0.86812528314305715</v>
      </c>
      <c r="G36" s="66"/>
      <c r="H36" s="66"/>
      <c r="L36" s="6"/>
      <c r="M36" s="8"/>
      <c r="Q36" s="6"/>
      <c r="R36" s="8"/>
    </row>
    <row r="37" spans="1:20" x14ac:dyDescent="0.25">
      <c r="A37" s="3"/>
      <c r="B37" s="3" t="s">
        <v>8</v>
      </c>
      <c r="C37" s="10">
        <f>STDEV(C33:D35)</f>
        <v>7.4597505515022949E-2</v>
      </c>
      <c r="G37" s="66"/>
      <c r="H37" s="66"/>
      <c r="L37" s="3"/>
      <c r="M37" s="10"/>
      <c r="Q37" s="3"/>
      <c r="R37" s="10"/>
    </row>
    <row r="38" spans="1:20" x14ac:dyDescent="0.25">
      <c r="A38" s="3"/>
      <c r="B38" s="3"/>
      <c r="C38" s="3"/>
      <c r="E38" s="5"/>
      <c r="G38" s="66"/>
      <c r="H38" s="66"/>
      <c r="J38" s="5"/>
      <c r="L38" s="3"/>
      <c r="M38" s="3"/>
      <c r="O38" s="5"/>
      <c r="Q38" s="3"/>
      <c r="R38" s="3"/>
    </row>
    <row r="39" spans="1:20" x14ac:dyDescent="0.25">
      <c r="A39" s="6" t="s">
        <v>9</v>
      </c>
      <c r="B39" s="9"/>
      <c r="C39" s="9" t="s">
        <v>10</v>
      </c>
      <c r="D39" s="9" t="s">
        <v>11</v>
      </c>
      <c r="E39" s="9"/>
      <c r="F39" s="9"/>
      <c r="G39" s="66"/>
      <c r="H39" s="66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 x14ac:dyDescent="0.25">
      <c r="A40" s="71" t="s">
        <v>13</v>
      </c>
      <c r="B40" s="3" t="s">
        <v>4</v>
      </c>
      <c r="C40">
        <v>0.86849270770588594</v>
      </c>
      <c r="D40">
        <v>0.83936011747480777</v>
      </c>
      <c r="E40" s="4"/>
      <c r="G40" s="66">
        <v>1.059384858044164</v>
      </c>
      <c r="H40" s="66">
        <v>0.94061514195583595</v>
      </c>
      <c r="I40" t="s">
        <v>25</v>
      </c>
      <c r="J40" s="4"/>
      <c r="L40" s="3"/>
      <c r="O40" s="4"/>
      <c r="Q40" s="3"/>
    </row>
    <row r="41" spans="1:20" x14ac:dyDescent="0.25">
      <c r="A41" s="71"/>
      <c r="B41" s="3" t="s">
        <v>5</v>
      </c>
      <c r="C41">
        <v>0.87007756044373707</v>
      </c>
      <c r="D41">
        <v>0.89969080578828164</v>
      </c>
      <c r="E41" s="5">
        <v>45446</v>
      </c>
      <c r="G41" s="66">
        <v>0.93461172753686872</v>
      </c>
      <c r="H41" s="66">
        <v>1.0653882724631314</v>
      </c>
      <c r="I41" s="5">
        <v>45446</v>
      </c>
      <c r="L41" s="3"/>
      <c r="Q41" s="3"/>
    </row>
    <row r="42" spans="1:20" x14ac:dyDescent="0.25">
      <c r="A42" s="71"/>
      <c r="B42" s="3" t="s">
        <v>6</v>
      </c>
      <c r="C42" s="3">
        <v>0.92968664385734778</v>
      </c>
      <c r="D42">
        <v>1.0882518923686213</v>
      </c>
      <c r="E42" s="5" t="s">
        <v>14</v>
      </c>
      <c r="G42" s="66">
        <v>0.96767899942503122</v>
      </c>
      <c r="H42" s="66">
        <v>1.032321000574969</v>
      </c>
      <c r="I42" s="5" t="s">
        <v>14</v>
      </c>
      <c r="J42" s="5"/>
      <c r="L42" s="3"/>
      <c r="M42" s="3"/>
      <c r="O42" s="5"/>
      <c r="Q42" s="3"/>
      <c r="R42" s="3"/>
      <c r="T42" s="5"/>
    </row>
    <row r="43" spans="1:20" x14ac:dyDescent="0.25">
      <c r="A43" s="3"/>
      <c r="B43" s="6" t="s">
        <v>7</v>
      </c>
      <c r="C43" s="8">
        <f>AVERAGE(C40:D42)</f>
        <v>0.91592662127311364</v>
      </c>
      <c r="L43" s="6"/>
      <c r="M43" s="8"/>
      <c r="Q43" s="6"/>
      <c r="R43" s="8"/>
    </row>
    <row r="44" spans="1:20" x14ac:dyDescent="0.25">
      <c r="A44" s="3"/>
      <c r="B44" s="3" t="s">
        <v>8</v>
      </c>
      <c r="C44" s="10">
        <f>STDEV(C40:D42)</f>
        <v>8.9848184203412201E-2</v>
      </c>
      <c r="L44" s="3"/>
      <c r="M44" s="10"/>
      <c r="Q44" s="3"/>
      <c r="R44" s="10"/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44"/>
  <sheetViews>
    <sheetView topLeftCell="A13" workbookViewId="0">
      <selection activeCell="U46" sqref="U46"/>
    </sheetView>
  </sheetViews>
  <sheetFormatPr defaultRowHeight="15" x14ac:dyDescent="0.25"/>
  <cols>
    <col min="1" max="2" width="9.140625" style="20"/>
    <col min="3" max="3" width="12" style="20" bestFit="1" customWidth="1"/>
    <col min="4" max="4" width="9.140625" style="20"/>
    <col min="5" max="5" width="10.7109375" style="20" bestFit="1" customWidth="1"/>
    <col min="6" max="23" width="9.140625" style="20"/>
    <col min="24" max="24" width="10.7109375" style="20" bestFit="1" customWidth="1"/>
    <col min="25" max="16384" width="9.140625" style="20"/>
  </cols>
  <sheetData>
    <row r="1" spans="1:24" s="33" customFormat="1" ht="20.25" thickBot="1" x14ac:dyDescent="0.35">
      <c r="A1" s="33" t="s">
        <v>23</v>
      </c>
    </row>
    <row r="2" spans="1:24" ht="15.75" thickTop="1" x14ac:dyDescent="0.25">
      <c r="C2" s="20">
        <v>1000</v>
      </c>
      <c r="D2" s="20" t="s">
        <v>26</v>
      </c>
      <c r="E2" s="20" t="s">
        <v>2</v>
      </c>
      <c r="H2" s="20">
        <v>100</v>
      </c>
      <c r="I2" s="20" t="s">
        <v>26</v>
      </c>
      <c r="J2" s="20" t="s">
        <v>2</v>
      </c>
      <c r="M2" s="20">
        <v>10</v>
      </c>
      <c r="N2" s="20" t="s">
        <v>26</v>
      </c>
      <c r="O2" s="20" t="s">
        <v>2</v>
      </c>
      <c r="R2" s="20">
        <v>1</v>
      </c>
      <c r="S2" s="20" t="s">
        <v>26</v>
      </c>
      <c r="T2" s="20" t="s">
        <v>2</v>
      </c>
      <c r="V2" t="s">
        <v>34</v>
      </c>
      <c r="W2"/>
      <c r="X2" t="s">
        <v>2</v>
      </c>
    </row>
    <row r="3" spans="1:24" ht="15.75" thickBot="1" x14ac:dyDescent="0.3">
      <c r="A3" s="22" t="s">
        <v>3</v>
      </c>
      <c r="B3" s="24"/>
      <c r="C3" s="24" t="s">
        <v>10</v>
      </c>
      <c r="D3" s="24" t="s">
        <v>11</v>
      </c>
      <c r="E3" s="24"/>
      <c r="F3" s="24"/>
      <c r="G3" s="24"/>
      <c r="H3" s="24" t="s">
        <v>10</v>
      </c>
      <c r="I3" s="24" t="s">
        <v>11</v>
      </c>
      <c r="J3" s="24"/>
      <c r="K3" s="24"/>
      <c r="L3" s="24"/>
      <c r="M3" s="24" t="s">
        <v>10</v>
      </c>
      <c r="N3" s="24" t="s">
        <v>11</v>
      </c>
      <c r="O3" s="24"/>
      <c r="P3" s="24"/>
      <c r="Q3" s="24"/>
      <c r="R3" s="24" t="s">
        <v>10</v>
      </c>
      <c r="S3" s="24" t="s">
        <v>11</v>
      </c>
      <c r="V3" s="9" t="s">
        <v>10</v>
      </c>
      <c r="W3" s="9" t="s">
        <v>11</v>
      </c>
      <c r="X3"/>
    </row>
    <row r="4" spans="1:24" ht="15.75" thickBot="1" x14ac:dyDescent="0.3">
      <c r="A4" s="72" t="s">
        <v>12</v>
      </c>
      <c r="B4" s="21" t="s">
        <v>4</v>
      </c>
      <c r="C4" s="20">
        <v>94.236407225208637</v>
      </c>
      <c r="D4" s="20">
        <v>100.02935062233058</v>
      </c>
      <c r="E4" s="14">
        <v>45210</v>
      </c>
      <c r="G4" s="21" t="s">
        <v>4</v>
      </c>
      <c r="J4" s="25"/>
      <c r="L4" s="21" t="s">
        <v>4</v>
      </c>
      <c r="O4" s="25"/>
      <c r="Q4" s="21" t="s">
        <v>4</v>
      </c>
      <c r="T4" s="25"/>
      <c r="V4" s="54">
        <v>95.077849354839188</v>
      </c>
      <c r="W4" s="55">
        <v>104.9221506451608</v>
      </c>
      <c r="X4" s="14">
        <v>45210</v>
      </c>
    </row>
    <row r="5" spans="1:24" ht="15.75" thickBot="1" x14ac:dyDescent="0.3">
      <c r="A5" s="72"/>
      <c r="B5" s="21" t="s">
        <v>5</v>
      </c>
      <c r="C5" s="20">
        <v>110.48350473721217</v>
      </c>
      <c r="D5" s="20">
        <v>117.03762813678658</v>
      </c>
      <c r="E5" s="19">
        <v>45394</v>
      </c>
      <c r="G5" s="21" t="s">
        <v>5</v>
      </c>
      <c r="L5" s="21" t="s">
        <v>5</v>
      </c>
      <c r="Q5" s="21" t="s">
        <v>5</v>
      </c>
      <c r="V5" s="54">
        <v>99.737382038751434</v>
      </c>
      <c r="W5" s="55">
        <v>100.26261796124855</v>
      </c>
      <c r="X5" s="19">
        <v>45394</v>
      </c>
    </row>
    <row r="6" spans="1:24" x14ac:dyDescent="0.25">
      <c r="A6" s="72"/>
      <c r="B6" s="21" t="s">
        <v>6</v>
      </c>
      <c r="C6" s="20">
        <v>118.73974753700836</v>
      </c>
      <c r="D6" s="20">
        <v>111.97207120957948</v>
      </c>
      <c r="E6" s="19" t="s">
        <v>29</v>
      </c>
      <c r="G6" s="21" t="s">
        <v>6</v>
      </c>
      <c r="L6" s="21" t="s">
        <v>6</v>
      </c>
      <c r="M6" s="18"/>
      <c r="N6" s="18"/>
      <c r="Q6" s="21" t="s">
        <v>6</v>
      </c>
      <c r="V6" s="54">
        <v>97.394219009842047</v>
      </c>
      <c r="W6" s="55">
        <v>102.60578099015795</v>
      </c>
      <c r="X6" s="19" t="s">
        <v>29</v>
      </c>
    </row>
    <row r="7" spans="1:24" x14ac:dyDescent="0.25">
      <c r="A7" s="21"/>
      <c r="B7" s="22" t="s">
        <v>7</v>
      </c>
      <c r="C7" s="18">
        <f>AVERAGE(C4:D6)</f>
        <v>108.7497849113543</v>
      </c>
      <c r="G7" s="22" t="s">
        <v>7</v>
      </c>
      <c r="H7" s="18" t="e">
        <f>AVERAGE(H4:I6)</f>
        <v>#DIV/0!</v>
      </c>
      <c r="L7" s="22" t="s">
        <v>7</v>
      </c>
      <c r="M7" s="18" t="e">
        <f>AVERAGE(M4:N6)</f>
        <v>#DIV/0!</v>
      </c>
      <c r="Q7" s="22" t="s">
        <v>7</v>
      </c>
      <c r="R7" s="18" t="e">
        <f>AVERAGE(R4:S6)</f>
        <v>#DIV/0!</v>
      </c>
    </row>
    <row r="8" spans="1:24" x14ac:dyDescent="0.25">
      <c r="A8" s="21"/>
      <c r="B8" s="21" t="s">
        <v>8</v>
      </c>
      <c r="C8" s="18">
        <f>STDEV(C4:D6)</f>
        <v>9.6805032726971625</v>
      </c>
      <c r="G8" s="21" t="s">
        <v>8</v>
      </c>
      <c r="H8" s="18" t="e">
        <f>STDEV(H4:I6)</f>
        <v>#DIV/0!</v>
      </c>
      <c r="L8" s="21" t="s">
        <v>8</v>
      </c>
      <c r="M8" s="18" t="e">
        <f>STDEV(M4:N6)</f>
        <v>#DIV/0!</v>
      </c>
      <c r="Q8" s="21" t="s">
        <v>8</v>
      </c>
      <c r="R8" s="18" t="e">
        <f>STDEV(R4:S6)</f>
        <v>#DIV/0!</v>
      </c>
    </row>
    <row r="9" spans="1:24" x14ac:dyDescent="0.25">
      <c r="A9" s="21"/>
      <c r="B9" s="21"/>
      <c r="C9" s="23"/>
      <c r="G9" s="21"/>
      <c r="H9" s="23"/>
      <c r="L9" s="21"/>
      <c r="M9" s="23"/>
      <c r="Q9" s="21"/>
      <c r="R9" s="23"/>
    </row>
    <row r="10" spans="1:24" x14ac:dyDescent="0.25">
      <c r="A10" s="22" t="s">
        <v>3</v>
      </c>
      <c r="B10" s="24"/>
      <c r="C10" s="24" t="s">
        <v>10</v>
      </c>
      <c r="D10" s="24" t="s">
        <v>11</v>
      </c>
      <c r="E10" s="24"/>
      <c r="F10" s="24"/>
      <c r="G10" s="24"/>
      <c r="H10" s="24" t="s">
        <v>10</v>
      </c>
      <c r="I10" s="24" t="s">
        <v>11</v>
      </c>
      <c r="J10" s="24"/>
      <c r="K10" s="24"/>
      <c r="L10" s="24"/>
      <c r="M10" s="24" t="s">
        <v>10</v>
      </c>
      <c r="N10" s="24" t="s">
        <v>11</v>
      </c>
      <c r="O10" s="24"/>
      <c r="P10" s="24"/>
      <c r="Q10" s="24"/>
      <c r="R10" s="24" t="s">
        <v>10</v>
      </c>
      <c r="S10" s="24" t="s">
        <v>11</v>
      </c>
    </row>
    <row r="11" spans="1:24" x14ac:dyDescent="0.25">
      <c r="A11" s="72" t="s">
        <v>13</v>
      </c>
      <c r="B11" s="21" t="s">
        <v>4</v>
      </c>
      <c r="C11" s="20">
        <v>114.23789309643588</v>
      </c>
      <c r="D11" s="20">
        <v>120.66559957709715</v>
      </c>
      <c r="E11" s="14">
        <v>45210</v>
      </c>
      <c r="G11" s="21" t="s">
        <v>4</v>
      </c>
      <c r="J11" s="25"/>
      <c r="L11" s="21" t="s">
        <v>4</v>
      </c>
      <c r="O11" s="25"/>
      <c r="Q11" s="21" t="s">
        <v>4</v>
      </c>
      <c r="T11" s="25"/>
      <c r="V11" s="56">
        <v>87.657985558971447</v>
      </c>
      <c r="W11" s="55">
        <v>112.34201444102854</v>
      </c>
      <c r="X11" s="14">
        <v>45210</v>
      </c>
    </row>
    <row r="12" spans="1:24" x14ac:dyDescent="0.25">
      <c r="A12" s="72"/>
      <c r="B12" s="21" t="s">
        <v>5</v>
      </c>
      <c r="C12" s="20">
        <v>117.07640039050413</v>
      </c>
      <c r="D12" s="20">
        <v>134.90511328598302</v>
      </c>
      <c r="E12" s="19">
        <v>45394</v>
      </c>
      <c r="G12" s="21" t="s">
        <v>5</v>
      </c>
      <c r="L12" s="21" t="s">
        <v>5</v>
      </c>
      <c r="Q12" s="21" t="s">
        <v>5</v>
      </c>
      <c r="V12" s="56">
        <v>93.514605915855228</v>
      </c>
      <c r="W12" s="55">
        <v>106.48539408414479</v>
      </c>
      <c r="X12" s="19">
        <v>45394</v>
      </c>
    </row>
    <row r="13" spans="1:24" x14ac:dyDescent="0.25">
      <c r="A13" s="72"/>
      <c r="B13" s="21" t="s">
        <v>6</v>
      </c>
      <c r="C13" s="20">
        <v>106.43895698722916</v>
      </c>
      <c r="D13" s="20">
        <v>113.46731378820576</v>
      </c>
      <c r="E13" s="19" t="s">
        <v>29</v>
      </c>
      <c r="G13" s="21" t="s">
        <v>6</v>
      </c>
      <c r="L13" s="21" t="s">
        <v>6</v>
      </c>
      <c r="M13" s="18">
        <v>1.4544104718579727</v>
      </c>
      <c r="N13" s="18">
        <v>1.5139517068979131</v>
      </c>
      <c r="O13" s="20" t="s">
        <v>14</v>
      </c>
      <c r="Q13" s="21" t="s">
        <v>6</v>
      </c>
      <c r="V13" s="56">
        <v>94.462047913170764</v>
      </c>
      <c r="W13" s="55">
        <v>105.53795208682921</v>
      </c>
      <c r="X13" s="19" t="s">
        <v>29</v>
      </c>
    </row>
    <row r="14" spans="1:24" x14ac:dyDescent="0.25">
      <c r="A14" s="21"/>
      <c r="B14" s="22" t="s">
        <v>7</v>
      </c>
      <c r="C14" s="18">
        <f>AVERAGE(C11:D13)</f>
        <v>117.79854618757584</v>
      </c>
      <c r="G14" s="22" t="s">
        <v>7</v>
      </c>
      <c r="H14" s="18" t="e">
        <f>AVERAGE(H11:I13)</f>
        <v>#DIV/0!</v>
      </c>
      <c r="L14" s="22" t="s">
        <v>7</v>
      </c>
      <c r="M14" s="18">
        <f>AVERAGE(M11:N13)</f>
        <v>1.4841810893779428</v>
      </c>
      <c r="Q14" s="22" t="s">
        <v>7</v>
      </c>
      <c r="R14" s="18" t="e">
        <f>AVERAGE(R11:S13)</f>
        <v>#DIV/0!</v>
      </c>
    </row>
    <row r="15" spans="1:24" x14ac:dyDescent="0.25">
      <c r="A15" s="21"/>
      <c r="B15" s="21" t="s">
        <v>8</v>
      </c>
      <c r="C15" s="18">
        <f>STDEV(C11:D13)</f>
        <v>9.6109751733768576</v>
      </c>
      <c r="G15" s="21" t="s">
        <v>8</v>
      </c>
      <c r="H15" s="18" t="e">
        <f>STDEV(H11:I13)</f>
        <v>#DIV/0!</v>
      </c>
      <c r="L15" s="21" t="s">
        <v>8</v>
      </c>
      <c r="M15" s="18">
        <f>STDEV(M11:N13)</f>
        <v>4.2102011056963977E-2</v>
      </c>
      <c r="Q15" s="21" t="s">
        <v>8</v>
      </c>
      <c r="R15" s="18" t="e">
        <f>STDEV(R11:S13)</f>
        <v>#DIV/0!</v>
      </c>
    </row>
    <row r="16" spans="1:24" x14ac:dyDescent="0.25">
      <c r="A16" s="21"/>
      <c r="B16" s="21"/>
      <c r="C16" s="23"/>
      <c r="G16" s="21"/>
      <c r="H16" s="23"/>
      <c r="L16" s="21"/>
      <c r="M16" s="23"/>
      <c r="Q16" s="21"/>
      <c r="R16" s="23"/>
    </row>
    <row r="18" spans="1:24" x14ac:dyDescent="0.25">
      <c r="A18" s="22" t="s">
        <v>15</v>
      </c>
      <c r="B18" s="24"/>
      <c r="C18" s="24" t="s">
        <v>10</v>
      </c>
      <c r="D18" s="24" t="s">
        <v>11</v>
      </c>
      <c r="E18" s="24"/>
      <c r="F18" s="24"/>
      <c r="G18" s="24"/>
      <c r="H18" s="24" t="s">
        <v>10</v>
      </c>
      <c r="I18" s="24" t="s">
        <v>11</v>
      </c>
      <c r="J18" s="24"/>
      <c r="K18" s="24"/>
      <c r="L18" s="24"/>
      <c r="M18" s="24" t="s">
        <v>10</v>
      </c>
      <c r="N18" s="24" t="s">
        <v>11</v>
      </c>
      <c r="O18" s="24"/>
      <c r="P18" s="24"/>
      <c r="Q18" s="24"/>
      <c r="R18" s="24" t="s">
        <v>10</v>
      </c>
      <c r="S18" s="24" t="s">
        <v>11</v>
      </c>
      <c r="T18" s="25"/>
    </row>
    <row r="19" spans="1:24" ht="15.75" thickBot="1" x14ac:dyDescent="0.3">
      <c r="A19" s="72" t="s">
        <v>12</v>
      </c>
      <c r="B19" s="21" t="s">
        <v>4</v>
      </c>
      <c r="C19" s="20">
        <v>96.623710430200518</v>
      </c>
      <c r="D19" s="20">
        <v>96.419438782575369</v>
      </c>
      <c r="E19" s="14">
        <v>45210</v>
      </c>
      <c r="G19" s="21" t="s">
        <v>4</v>
      </c>
      <c r="J19" s="25"/>
      <c r="L19" s="21" t="s">
        <v>4</v>
      </c>
      <c r="O19" s="25"/>
      <c r="Q19" s="21" t="s">
        <v>4</v>
      </c>
      <c r="V19" s="20">
        <v>99.760544339629675</v>
      </c>
      <c r="W19" s="20">
        <v>100.23945566037031</v>
      </c>
      <c r="X19" s="14">
        <v>45210</v>
      </c>
    </row>
    <row r="20" spans="1:24" ht="15.75" thickBot="1" x14ac:dyDescent="0.3">
      <c r="A20" s="72"/>
      <c r="B20" s="21" t="s">
        <v>5</v>
      </c>
      <c r="C20" s="28">
        <v>120.18291270794444</v>
      </c>
      <c r="D20" s="28">
        <v>131.96736247018984</v>
      </c>
      <c r="E20" s="19">
        <v>45394</v>
      </c>
      <c r="G20" s="21" t="s">
        <v>5</v>
      </c>
      <c r="L20" s="21" t="s">
        <v>5</v>
      </c>
      <c r="Q20" s="21" t="s">
        <v>5</v>
      </c>
      <c r="V20" s="54">
        <v>111.60377427335023</v>
      </c>
      <c r="W20" s="55">
        <v>88.396225726649789</v>
      </c>
      <c r="X20" s="19">
        <v>45394</v>
      </c>
    </row>
    <row r="21" spans="1:24" x14ac:dyDescent="0.25">
      <c r="A21" s="72"/>
      <c r="B21" s="21" t="s">
        <v>6</v>
      </c>
      <c r="C21" s="21">
        <v>100.21220630941785</v>
      </c>
      <c r="D21" s="20">
        <v>82.493053568820955</v>
      </c>
      <c r="E21" s="19" t="s">
        <v>29</v>
      </c>
      <c r="G21" s="21" t="s">
        <v>6</v>
      </c>
      <c r="L21" s="21" t="s">
        <v>6</v>
      </c>
      <c r="Q21" s="21" t="s">
        <v>6</v>
      </c>
      <c r="V21" s="54">
        <v>101.19089256597323</v>
      </c>
      <c r="W21" s="55">
        <v>98.809107434026771</v>
      </c>
      <c r="X21" s="19" t="s">
        <v>29</v>
      </c>
    </row>
    <row r="22" spans="1:24" x14ac:dyDescent="0.25">
      <c r="A22" s="21"/>
      <c r="B22" s="22" t="s">
        <v>7</v>
      </c>
      <c r="C22" s="18">
        <f>AVERAGE(C19:D21)</f>
        <v>104.64978071152484</v>
      </c>
      <c r="G22" s="22" t="s">
        <v>7</v>
      </c>
      <c r="H22" s="18" t="e">
        <f>AVERAGE(H19:I21)</f>
        <v>#DIV/0!</v>
      </c>
      <c r="L22" s="22" t="s">
        <v>7</v>
      </c>
      <c r="M22" s="18" t="e">
        <f>AVERAGE(M19:N21)</f>
        <v>#DIV/0!</v>
      </c>
      <c r="Q22" s="22" t="s">
        <v>7</v>
      </c>
      <c r="R22" s="18" t="e">
        <f>AVERAGE(R19:S21)</f>
        <v>#DIV/0!</v>
      </c>
    </row>
    <row r="23" spans="1:24" x14ac:dyDescent="0.25">
      <c r="A23" s="21"/>
      <c r="B23" s="21" t="s">
        <v>8</v>
      </c>
      <c r="C23" s="18">
        <f>STDEV(C19:D21)</f>
        <v>18.057117264049474</v>
      </c>
      <c r="G23" s="21" t="s">
        <v>8</v>
      </c>
      <c r="H23" s="18" t="e">
        <f>STDEV(H19:I21)</f>
        <v>#DIV/0!</v>
      </c>
      <c r="L23" s="21" t="s">
        <v>8</v>
      </c>
      <c r="M23" s="18" t="e">
        <f>STDEV(M19:N21)</f>
        <v>#DIV/0!</v>
      </c>
      <c r="Q23" s="21" t="s">
        <v>8</v>
      </c>
      <c r="R23" s="18" t="e">
        <f>STDEV(R19:S21)</f>
        <v>#DIV/0!</v>
      </c>
    </row>
    <row r="24" spans="1:24" x14ac:dyDescent="0.25">
      <c r="A24" s="21"/>
      <c r="B24" s="21"/>
      <c r="G24" s="21"/>
      <c r="L24" s="21"/>
      <c r="M24" s="18"/>
      <c r="N24" s="18"/>
      <c r="Q24" s="21"/>
    </row>
    <row r="25" spans="1:24" x14ac:dyDescent="0.25">
      <c r="A25" s="22" t="s">
        <v>15</v>
      </c>
      <c r="B25" s="24"/>
      <c r="C25" s="24" t="s">
        <v>10</v>
      </c>
      <c r="D25" s="24" t="s">
        <v>11</v>
      </c>
      <c r="E25" s="24"/>
      <c r="F25" s="24"/>
      <c r="G25" s="24"/>
      <c r="H25" s="24" t="s">
        <v>10</v>
      </c>
      <c r="I25" s="24" t="s">
        <v>11</v>
      </c>
      <c r="J25" s="24"/>
      <c r="K25" s="24"/>
      <c r="L25" s="24"/>
      <c r="M25" s="24" t="s">
        <v>10</v>
      </c>
      <c r="N25" s="24" t="s">
        <v>11</v>
      </c>
      <c r="O25" s="24"/>
      <c r="P25" s="24"/>
      <c r="Q25" s="24"/>
      <c r="R25" s="24" t="s">
        <v>10</v>
      </c>
      <c r="S25" s="24" t="s">
        <v>11</v>
      </c>
    </row>
    <row r="26" spans="1:24" x14ac:dyDescent="0.25">
      <c r="A26" s="72" t="s">
        <v>13</v>
      </c>
      <c r="B26" s="21" t="s">
        <v>4</v>
      </c>
      <c r="C26" s="28">
        <v>117.58247766351406</v>
      </c>
      <c r="D26" s="28">
        <v>131.69493743129499</v>
      </c>
      <c r="E26" s="14">
        <v>45210</v>
      </c>
      <c r="G26" s="21" t="s">
        <v>4</v>
      </c>
      <c r="J26" s="25"/>
      <c r="L26" s="21" t="s">
        <v>4</v>
      </c>
      <c r="O26" s="25"/>
      <c r="Q26" s="21" t="s">
        <v>4</v>
      </c>
      <c r="V26" s="56">
        <v>95.806235215196125</v>
      </c>
      <c r="W26" s="55">
        <v>104.19376478480386</v>
      </c>
      <c r="X26" s="14">
        <v>45210</v>
      </c>
    </row>
    <row r="27" spans="1:24" x14ac:dyDescent="0.25">
      <c r="A27" s="72"/>
      <c r="B27" s="21" t="s">
        <v>5</v>
      </c>
      <c r="C27" s="28">
        <v>133.33608194929354</v>
      </c>
      <c r="D27" s="28">
        <v>147.20638221092435</v>
      </c>
      <c r="E27" s="19">
        <v>45394</v>
      </c>
      <c r="G27" s="21" t="s">
        <v>5</v>
      </c>
      <c r="L27" s="21" t="s">
        <v>5</v>
      </c>
      <c r="Q27" s="21" t="s">
        <v>5</v>
      </c>
      <c r="V27" s="56">
        <v>101.98951775655894</v>
      </c>
      <c r="W27" s="55">
        <v>98.010482243441075</v>
      </c>
      <c r="X27" s="19">
        <v>45394</v>
      </c>
    </row>
    <row r="28" spans="1:24" x14ac:dyDescent="0.25">
      <c r="A28" s="72"/>
      <c r="B28" s="21" t="s">
        <v>6</v>
      </c>
      <c r="C28" s="21">
        <v>103.72117800126055</v>
      </c>
      <c r="D28" s="20">
        <v>104.49388270882898</v>
      </c>
      <c r="E28" s="19" t="s">
        <v>29</v>
      </c>
      <c r="G28" s="21" t="s">
        <v>6</v>
      </c>
      <c r="H28" s="21"/>
      <c r="L28" s="21" t="s">
        <v>6</v>
      </c>
      <c r="M28" s="21"/>
      <c r="Q28" s="21" t="s">
        <v>6</v>
      </c>
      <c r="R28" s="21"/>
      <c r="V28" s="56">
        <v>100.55399753598755</v>
      </c>
      <c r="W28" s="55">
        <v>99.446002464012437</v>
      </c>
      <c r="X28" s="19" t="s">
        <v>29</v>
      </c>
    </row>
    <row r="29" spans="1:24" x14ac:dyDescent="0.25">
      <c r="A29" s="21"/>
      <c r="B29" s="22" t="s">
        <v>7</v>
      </c>
      <c r="C29" s="18">
        <f>AVERAGE(C26:D28)</f>
        <v>123.00582332751942</v>
      </c>
      <c r="G29" s="22" t="s">
        <v>7</v>
      </c>
      <c r="H29" s="18" t="e">
        <f>AVERAGE(H26:I28)</f>
        <v>#DIV/0!</v>
      </c>
      <c r="L29" s="22" t="s">
        <v>7</v>
      </c>
      <c r="M29" s="18" t="e">
        <f>AVERAGE(M26:N28)</f>
        <v>#DIV/0!</v>
      </c>
      <c r="Q29" s="22" t="s">
        <v>7</v>
      </c>
      <c r="R29" s="18" t="e">
        <f>AVERAGE(R26:S28)</f>
        <v>#DIV/0!</v>
      </c>
    </row>
    <row r="30" spans="1:24" x14ac:dyDescent="0.25">
      <c r="A30" s="21"/>
      <c r="B30" s="21" t="s">
        <v>8</v>
      </c>
      <c r="C30" s="18">
        <f>STDEV(C26:D28)</f>
        <v>17.388985976135015</v>
      </c>
      <c r="G30" s="21" t="s">
        <v>8</v>
      </c>
      <c r="H30" s="18" t="e">
        <f>STDEV(H26:I28)</f>
        <v>#DIV/0!</v>
      </c>
      <c r="L30" s="21" t="s">
        <v>8</v>
      </c>
      <c r="M30" s="18" t="e">
        <f>STDEV(M26:N28)</f>
        <v>#DIV/0!</v>
      </c>
      <c r="Q30" s="21" t="s">
        <v>8</v>
      </c>
      <c r="R30" s="18" t="e">
        <f>STDEV(R26:S28)</f>
        <v>#DIV/0!</v>
      </c>
    </row>
    <row r="32" spans="1:24" ht="15.75" thickBot="1" x14ac:dyDescent="0.3">
      <c r="A32" s="22" t="s">
        <v>9</v>
      </c>
      <c r="B32" s="24"/>
      <c r="C32" s="24" t="s">
        <v>10</v>
      </c>
      <c r="D32" s="24" t="s">
        <v>11</v>
      </c>
      <c r="E32" s="24"/>
      <c r="F32" s="24"/>
      <c r="G32" s="24"/>
      <c r="H32" s="24" t="s">
        <v>10</v>
      </c>
      <c r="I32" s="24" t="s">
        <v>11</v>
      </c>
      <c r="J32" s="24"/>
      <c r="K32" s="24"/>
      <c r="L32" s="24"/>
      <c r="M32" s="24" t="s">
        <v>10</v>
      </c>
      <c r="N32" s="24" t="s">
        <v>11</v>
      </c>
      <c r="O32" s="24"/>
      <c r="P32" s="24"/>
      <c r="Q32" s="24"/>
      <c r="R32" s="24" t="s">
        <v>10</v>
      </c>
      <c r="S32" s="24" t="s">
        <v>11</v>
      </c>
    </row>
    <row r="33" spans="1:24" ht="15.75" thickBot="1" x14ac:dyDescent="0.3">
      <c r="A33" s="72" t="s">
        <v>12</v>
      </c>
      <c r="B33" s="21" t="s">
        <v>4</v>
      </c>
      <c r="C33" s="20">
        <v>107.52172710566813</v>
      </c>
      <c r="D33" s="20">
        <v>107.36649782836582</v>
      </c>
      <c r="E33" s="14">
        <v>45210</v>
      </c>
      <c r="G33" s="21" t="s">
        <v>4</v>
      </c>
      <c r="J33" s="25"/>
      <c r="L33" s="21" t="s">
        <v>4</v>
      </c>
      <c r="O33" s="25"/>
      <c r="Q33" s="21" t="s">
        <v>4</v>
      </c>
      <c r="V33" s="54">
        <v>99.198047053968324</v>
      </c>
      <c r="W33" s="55">
        <v>100.80195294603168</v>
      </c>
      <c r="X33" s="14">
        <v>45210</v>
      </c>
    </row>
    <row r="34" spans="1:24" ht="15.75" thickBot="1" x14ac:dyDescent="0.3">
      <c r="A34" s="72"/>
      <c r="B34" s="21" t="s">
        <v>5</v>
      </c>
      <c r="C34" s="20">
        <v>115.41845191325979</v>
      </c>
      <c r="D34" s="20">
        <v>116.40514741007917</v>
      </c>
      <c r="E34" s="19">
        <v>45394</v>
      </c>
      <c r="G34" s="21" t="s">
        <v>5</v>
      </c>
      <c r="L34" s="21" t="s">
        <v>5</v>
      </c>
      <c r="Q34" s="21" t="s">
        <v>5</v>
      </c>
      <c r="V34" s="54">
        <v>97.243189513248211</v>
      </c>
      <c r="W34" s="55">
        <v>102.75681048675179</v>
      </c>
      <c r="X34" s="19">
        <v>45394</v>
      </c>
    </row>
    <row r="35" spans="1:24" x14ac:dyDescent="0.25">
      <c r="A35" s="72"/>
      <c r="B35" s="21" t="s">
        <v>6</v>
      </c>
      <c r="C35" s="21">
        <v>106.41020222572786</v>
      </c>
      <c r="D35" s="20">
        <v>115.01000038454509</v>
      </c>
      <c r="E35" s="19" t="s">
        <v>29</v>
      </c>
      <c r="G35" s="21" t="s">
        <v>6</v>
      </c>
      <c r="H35" s="21"/>
      <c r="L35" s="21" t="s">
        <v>6</v>
      </c>
      <c r="M35" s="21"/>
      <c r="Q35" s="21" t="s">
        <v>6</v>
      </c>
      <c r="R35" s="21"/>
      <c r="V35" s="54">
        <v>106.99184597544591</v>
      </c>
      <c r="W35" s="55">
        <v>93.008154024554116</v>
      </c>
      <c r="X35" s="19" t="s">
        <v>29</v>
      </c>
    </row>
    <row r="36" spans="1:24" x14ac:dyDescent="0.25">
      <c r="A36" s="21"/>
      <c r="B36" s="22" t="s">
        <v>7</v>
      </c>
      <c r="C36" s="18">
        <f>AVERAGE(C33:D35)</f>
        <v>111.35533781127431</v>
      </c>
      <c r="G36" s="22" t="s">
        <v>7</v>
      </c>
      <c r="H36" s="18" t="e">
        <f>AVERAGE(H33:I35)</f>
        <v>#DIV/0!</v>
      </c>
      <c r="L36" s="22" t="s">
        <v>7</v>
      </c>
      <c r="M36" s="18" t="e">
        <f>AVERAGE(M33:N35)</f>
        <v>#DIV/0!</v>
      </c>
      <c r="Q36" s="22" t="s">
        <v>7</v>
      </c>
      <c r="R36" s="18" t="e">
        <f>AVERAGE(R33:S35)</f>
        <v>#DIV/0!</v>
      </c>
    </row>
    <row r="37" spans="1:24" x14ac:dyDescent="0.25">
      <c r="A37" s="21"/>
      <c r="B37" s="21" t="s">
        <v>8</v>
      </c>
      <c r="C37" s="18">
        <f>STDEV(C33:D35)</f>
        <v>4.6995279151256595</v>
      </c>
      <c r="G37" s="21" t="s">
        <v>8</v>
      </c>
      <c r="H37" s="18" t="e">
        <f>STDEV(H33:I35)</f>
        <v>#DIV/0!</v>
      </c>
      <c r="L37" s="21" t="s">
        <v>8</v>
      </c>
      <c r="M37" s="18" t="e">
        <f>STDEV(M33:N35)</f>
        <v>#DIV/0!</v>
      </c>
      <c r="Q37" s="21" t="s">
        <v>8</v>
      </c>
      <c r="R37" s="18" t="e">
        <f>STDEV(R33:S35)</f>
        <v>#DIV/0!</v>
      </c>
    </row>
    <row r="38" spans="1:24" x14ac:dyDescent="0.25">
      <c r="A38" s="21"/>
      <c r="B38" s="21"/>
      <c r="C38" s="21"/>
      <c r="G38" s="21"/>
      <c r="H38" s="21"/>
      <c r="L38" s="21"/>
      <c r="M38" s="21"/>
      <c r="Q38" s="21"/>
      <c r="R38" s="21"/>
    </row>
    <row r="39" spans="1:24" x14ac:dyDescent="0.25">
      <c r="A39" s="22" t="s">
        <v>9</v>
      </c>
      <c r="B39" s="24"/>
      <c r="C39" s="24" t="s">
        <v>10</v>
      </c>
      <c r="D39" s="24" t="s">
        <v>11</v>
      </c>
      <c r="E39" s="24"/>
      <c r="F39" s="24"/>
      <c r="G39" s="24"/>
      <c r="H39" s="24" t="s">
        <v>10</v>
      </c>
      <c r="I39" s="24" t="s">
        <v>11</v>
      </c>
      <c r="J39" s="24"/>
      <c r="K39" s="24"/>
      <c r="L39" s="24"/>
      <c r="M39" s="24" t="s">
        <v>10</v>
      </c>
      <c r="N39" s="24" t="s">
        <v>11</v>
      </c>
      <c r="O39" s="24"/>
      <c r="P39" s="24"/>
      <c r="Q39" s="24"/>
      <c r="R39" s="24" t="s">
        <v>10</v>
      </c>
      <c r="S39" s="24" t="s">
        <v>11</v>
      </c>
    </row>
    <row r="40" spans="1:24" x14ac:dyDescent="0.25">
      <c r="A40" s="72" t="s">
        <v>13</v>
      </c>
      <c r="B40" s="21" t="s">
        <v>4</v>
      </c>
      <c r="C40" s="20">
        <v>110.17895338931774</v>
      </c>
      <c r="D40" s="20">
        <v>118.56928013008157</v>
      </c>
      <c r="E40" s="14">
        <v>45210</v>
      </c>
      <c r="G40" s="21" t="s">
        <v>4</v>
      </c>
      <c r="J40" s="25"/>
      <c r="L40" s="21" t="s">
        <v>4</v>
      </c>
      <c r="O40" s="25"/>
      <c r="Q40" s="21" t="s">
        <v>4</v>
      </c>
      <c r="V40" s="56">
        <v>95.59828976396399</v>
      </c>
      <c r="W40" s="55">
        <v>104.401710236036</v>
      </c>
      <c r="X40" s="14">
        <v>45210</v>
      </c>
    </row>
    <row r="41" spans="1:24" x14ac:dyDescent="0.25">
      <c r="A41" s="72"/>
      <c r="B41" s="21" t="s">
        <v>5</v>
      </c>
      <c r="C41" s="20">
        <v>123.583070270584</v>
      </c>
      <c r="D41" s="20">
        <v>106.02315661554611</v>
      </c>
      <c r="E41" s="19">
        <v>45394</v>
      </c>
      <c r="G41" s="21" t="s">
        <v>5</v>
      </c>
      <c r="L41" s="21" t="s">
        <v>5</v>
      </c>
      <c r="Q41" s="21" t="s">
        <v>5</v>
      </c>
      <c r="V41" s="56">
        <v>105.26771590919132</v>
      </c>
      <c r="W41" s="55">
        <v>94.732284090808662</v>
      </c>
      <c r="X41" s="19">
        <v>45394</v>
      </c>
    </row>
    <row r="42" spans="1:24" x14ac:dyDescent="0.25">
      <c r="A42" s="72"/>
      <c r="B42" s="21" t="s">
        <v>6</v>
      </c>
      <c r="C42" s="21">
        <v>98.130096018932051</v>
      </c>
      <c r="D42" s="20">
        <v>108.4187630960258</v>
      </c>
      <c r="E42" s="19" t="s">
        <v>29</v>
      </c>
      <c r="G42" s="21" t="s">
        <v>6</v>
      </c>
      <c r="H42" s="21"/>
      <c r="L42" s="21" t="s">
        <v>6</v>
      </c>
      <c r="M42" s="21"/>
      <c r="Q42" s="21" t="s">
        <v>6</v>
      </c>
      <c r="R42" s="21"/>
      <c r="V42" s="56">
        <v>83.581920263142962</v>
      </c>
      <c r="W42" s="55">
        <v>116.41807973685702</v>
      </c>
      <c r="X42" s="19" t="s">
        <v>29</v>
      </c>
    </row>
    <row r="43" spans="1:24" x14ac:dyDescent="0.25">
      <c r="A43" s="21"/>
      <c r="B43" s="22" t="s">
        <v>7</v>
      </c>
      <c r="C43" s="18">
        <f>AVERAGE(C40:D42)</f>
        <v>110.81721992008123</v>
      </c>
      <c r="G43" s="22" t="s">
        <v>7</v>
      </c>
      <c r="H43" s="18" t="e">
        <f>AVERAGE(H40:I42)</f>
        <v>#DIV/0!</v>
      </c>
      <c r="L43" s="22" t="s">
        <v>7</v>
      </c>
      <c r="M43" s="18" t="e">
        <f>AVERAGE(M40:N42)</f>
        <v>#DIV/0!</v>
      </c>
      <c r="Q43" s="22" t="s">
        <v>7</v>
      </c>
      <c r="R43" s="18" t="e">
        <f>AVERAGE(R40:S42)</f>
        <v>#DIV/0!</v>
      </c>
    </row>
    <row r="44" spans="1:24" x14ac:dyDescent="0.25">
      <c r="A44" s="21"/>
      <c r="B44" s="21" t="s">
        <v>8</v>
      </c>
      <c r="C44" s="18">
        <f>STDEV(C40:D42)</f>
        <v>9.0902971109095674</v>
      </c>
      <c r="G44" s="21" t="s">
        <v>8</v>
      </c>
      <c r="H44" s="18" t="e">
        <f>STDEV(H40:I42)</f>
        <v>#DIV/0!</v>
      </c>
      <c r="L44" s="21" t="s">
        <v>8</v>
      </c>
      <c r="M44" s="18" t="e">
        <f>STDEV(M40:N42)</f>
        <v>#DIV/0!</v>
      </c>
      <c r="Q44" s="21" t="s">
        <v>8</v>
      </c>
      <c r="R44" s="18" t="e">
        <f>STDEV(R40:S42)</f>
        <v>#DIV/0!</v>
      </c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44"/>
  <sheetViews>
    <sheetView topLeftCell="A13" workbookViewId="0">
      <selection activeCell="W40" sqref="V40:W42"/>
    </sheetView>
  </sheetViews>
  <sheetFormatPr defaultRowHeight="15" x14ac:dyDescent="0.25"/>
  <cols>
    <col min="5" max="5" width="9.7109375" bestFit="1" customWidth="1"/>
  </cols>
  <sheetData>
    <row r="1" spans="1:24" s="2" customFormat="1" ht="20.25" thickBot="1" x14ac:dyDescent="0.35">
      <c r="A1" s="1" t="s">
        <v>17</v>
      </c>
    </row>
    <row r="2" spans="1:24" ht="15.75" thickTop="1" x14ac:dyDescent="0.25">
      <c r="C2">
        <v>10</v>
      </c>
      <c r="D2" t="s">
        <v>1</v>
      </c>
      <c r="E2" t="s">
        <v>2</v>
      </c>
      <c r="H2">
        <v>3</v>
      </c>
      <c r="I2" t="s">
        <v>1</v>
      </c>
      <c r="J2" t="s">
        <v>2</v>
      </c>
      <c r="M2">
        <v>1</v>
      </c>
      <c r="N2" t="s">
        <v>1</v>
      </c>
      <c r="O2" t="s">
        <v>2</v>
      </c>
      <c r="R2">
        <v>0.3</v>
      </c>
      <c r="S2" t="s">
        <v>1</v>
      </c>
      <c r="T2" t="s">
        <v>2</v>
      </c>
      <c r="V2" t="s">
        <v>34</v>
      </c>
      <c r="X2" t="s">
        <v>2</v>
      </c>
    </row>
    <row r="3" spans="1:24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J3" s="9"/>
      <c r="K3" s="9"/>
      <c r="L3" s="9"/>
      <c r="M3" s="9" t="s">
        <v>10</v>
      </c>
      <c r="N3" s="9" t="s">
        <v>11</v>
      </c>
      <c r="O3" s="9"/>
      <c r="P3" s="9"/>
      <c r="Q3" s="9"/>
      <c r="R3" s="9" t="s">
        <v>10</v>
      </c>
      <c r="S3" s="9" t="s">
        <v>11</v>
      </c>
      <c r="V3" s="9" t="s">
        <v>10</v>
      </c>
      <c r="W3" s="9" t="s">
        <v>11</v>
      </c>
    </row>
    <row r="4" spans="1:24" x14ac:dyDescent="0.25">
      <c r="A4" s="71" t="s">
        <v>12</v>
      </c>
      <c r="B4" s="3" t="s">
        <v>4</v>
      </c>
      <c r="C4">
        <v>0.56423024862283677</v>
      </c>
      <c r="D4">
        <v>0.54866717395755205</v>
      </c>
      <c r="E4" s="12">
        <v>45446</v>
      </c>
      <c r="G4" s="3" t="s">
        <v>4</v>
      </c>
      <c r="H4">
        <v>0.74124828410982191</v>
      </c>
      <c r="I4">
        <v>0.82793361838928026</v>
      </c>
      <c r="J4" s="12">
        <v>45446</v>
      </c>
      <c r="L4" s="3" t="s">
        <v>4</v>
      </c>
      <c r="M4">
        <v>1.1333536024415864</v>
      </c>
      <c r="N4">
        <v>1.0651351576525225</v>
      </c>
      <c r="O4" s="12">
        <v>45446</v>
      </c>
      <c r="Q4" s="3" t="s">
        <v>4</v>
      </c>
      <c r="R4">
        <v>1.0040766940490911</v>
      </c>
      <c r="S4">
        <v>1.0934007961028933</v>
      </c>
      <c r="T4" s="12">
        <v>45446</v>
      </c>
      <c r="V4" s="68">
        <v>0.97427427535839484</v>
      </c>
      <c r="W4" s="68">
        <v>1.0257257246416052</v>
      </c>
      <c r="X4" s="5">
        <v>45446</v>
      </c>
    </row>
    <row r="5" spans="1:24" x14ac:dyDescent="0.25">
      <c r="A5" s="71"/>
      <c r="B5" s="3" t="s">
        <v>5</v>
      </c>
      <c r="C5">
        <v>0.65736272082775293</v>
      </c>
      <c r="D5">
        <v>0.59594245980689009</v>
      </c>
      <c r="E5" s="5" t="s">
        <v>14</v>
      </c>
      <c r="G5" s="3" t="s">
        <v>5</v>
      </c>
      <c r="H5">
        <v>0.6315314487541368</v>
      </c>
      <c r="I5">
        <v>0.6445368710179824</v>
      </c>
      <c r="J5" s="5" t="s">
        <v>14</v>
      </c>
      <c r="L5" s="3" t="s">
        <v>5</v>
      </c>
      <c r="M5">
        <v>0.96138849377618851</v>
      </c>
      <c r="N5">
        <v>0.91033955762725483</v>
      </c>
      <c r="O5" s="5" t="s">
        <v>14</v>
      </c>
      <c r="Q5" s="3" t="s">
        <v>5</v>
      </c>
      <c r="R5">
        <v>0.93243947882817635</v>
      </c>
      <c r="S5">
        <v>0.97141407202286667</v>
      </c>
      <c r="T5" s="5" t="s">
        <v>14</v>
      </c>
      <c r="V5" s="68">
        <v>0.98600854607209376</v>
      </c>
      <c r="W5" s="68">
        <v>1.0139914539279062</v>
      </c>
      <c r="X5" s="5" t="s">
        <v>14</v>
      </c>
    </row>
    <row r="6" spans="1:24" x14ac:dyDescent="0.25">
      <c r="A6" s="71"/>
      <c r="B6" s="3" t="s">
        <v>6</v>
      </c>
      <c r="C6">
        <v>0.58305681043456747</v>
      </c>
      <c r="D6">
        <v>0.62396174533546833</v>
      </c>
      <c r="E6" t="s">
        <v>32</v>
      </c>
      <c r="G6" s="3" t="s">
        <v>6</v>
      </c>
      <c r="H6">
        <v>0.98858054876846624</v>
      </c>
      <c r="I6">
        <v>0.98589982482283312</v>
      </c>
      <c r="J6" t="s">
        <v>32</v>
      </c>
      <c r="L6" s="3" t="s">
        <v>6</v>
      </c>
      <c r="M6" s="8">
        <v>1.2860106169175951</v>
      </c>
      <c r="N6" s="8">
        <v>1.2306183897710958</v>
      </c>
      <c r="O6" t="s">
        <v>32</v>
      </c>
      <c r="Q6" s="3" t="s">
        <v>6</v>
      </c>
      <c r="R6">
        <v>1.0809920699241284</v>
      </c>
      <c r="S6">
        <v>1.1377895685991466</v>
      </c>
      <c r="T6" t="s">
        <v>32</v>
      </c>
      <c r="V6" s="68">
        <v>0.97632042576223821</v>
      </c>
      <c r="W6" s="68">
        <v>1.0236795742377618</v>
      </c>
      <c r="X6" t="s">
        <v>32</v>
      </c>
    </row>
    <row r="7" spans="1:24" x14ac:dyDescent="0.25">
      <c r="A7" s="3"/>
      <c r="B7" s="6" t="s">
        <v>7</v>
      </c>
      <c r="C7" s="8">
        <f>AVERAGE(C4:D6)</f>
        <v>0.5955368598308447</v>
      </c>
      <c r="G7" s="6" t="s">
        <v>7</v>
      </c>
      <c r="H7" s="8">
        <f>AVERAGE(H4:I6)</f>
        <v>0.80328843264375338</v>
      </c>
      <c r="L7" s="6" t="s">
        <v>7</v>
      </c>
      <c r="M7" s="8">
        <f>AVERAGE(M4:N6)</f>
        <v>1.0978076363643738</v>
      </c>
      <c r="Q7" s="6" t="s">
        <v>7</v>
      </c>
      <c r="R7" s="8">
        <f>AVERAGE(R4:S6)</f>
        <v>1.0366854465877171</v>
      </c>
      <c r="V7" s="68"/>
      <c r="W7" s="68"/>
    </row>
    <row r="8" spans="1:24" x14ac:dyDescent="0.25">
      <c r="A8" s="3"/>
      <c r="B8" s="3" t="s">
        <v>8</v>
      </c>
      <c r="C8" s="10">
        <f>STDEV(C4:D6)</f>
        <v>3.990789071706137E-2</v>
      </c>
      <c r="G8" s="3" t="s">
        <v>8</v>
      </c>
      <c r="H8" s="10">
        <f>STDEV(H4:I6)</f>
        <v>0.15927270569408905</v>
      </c>
      <c r="L8" s="3" t="s">
        <v>8</v>
      </c>
      <c r="M8" s="10">
        <f>STDEV(M4:N6)</f>
        <v>0.14774608467840897</v>
      </c>
      <c r="Q8" s="3" t="s">
        <v>8</v>
      </c>
      <c r="R8" s="10">
        <f>STDEV(R4:S6)</f>
        <v>7.94891893324354E-2</v>
      </c>
      <c r="V8" s="68"/>
      <c r="W8" s="68"/>
    </row>
    <row r="9" spans="1:24" x14ac:dyDescent="0.25">
      <c r="A9" s="3"/>
      <c r="B9" s="3"/>
      <c r="C9" s="7"/>
      <c r="E9" s="9"/>
      <c r="G9" s="3"/>
      <c r="H9" s="7"/>
      <c r="J9" s="9"/>
      <c r="L9" s="3"/>
      <c r="M9" s="7"/>
      <c r="O9" s="9"/>
      <c r="Q9" s="3"/>
      <c r="R9" s="7"/>
      <c r="V9" s="68"/>
      <c r="W9" s="68"/>
    </row>
    <row r="10" spans="1:24" x14ac:dyDescent="0.25">
      <c r="A10" s="6" t="s">
        <v>3</v>
      </c>
      <c r="B10" s="9"/>
      <c r="C10" s="9" t="s">
        <v>10</v>
      </c>
      <c r="D10" s="9" t="s">
        <v>11</v>
      </c>
      <c r="E10" s="4"/>
      <c r="F10" s="9"/>
      <c r="G10" s="9"/>
      <c r="H10" s="9" t="s">
        <v>10</v>
      </c>
      <c r="I10" s="9" t="s">
        <v>11</v>
      </c>
      <c r="J10" s="4"/>
      <c r="K10" s="9"/>
      <c r="L10" s="9"/>
      <c r="M10" s="9" t="s">
        <v>10</v>
      </c>
      <c r="N10" s="9" t="s">
        <v>11</v>
      </c>
      <c r="O10" s="4"/>
      <c r="P10" s="9"/>
      <c r="Q10" s="9"/>
      <c r="R10" s="9" t="s">
        <v>10</v>
      </c>
      <c r="S10" s="9" t="s">
        <v>11</v>
      </c>
      <c r="T10" s="4"/>
      <c r="V10" s="68"/>
      <c r="W10" s="68"/>
    </row>
    <row r="11" spans="1:24" x14ac:dyDescent="0.25">
      <c r="A11" s="71" t="s">
        <v>13</v>
      </c>
      <c r="B11" s="3" t="s">
        <v>4</v>
      </c>
      <c r="C11">
        <v>0.6046625913405691</v>
      </c>
      <c r="D11">
        <v>0.61259274213856107</v>
      </c>
      <c r="E11" s="12">
        <v>45446</v>
      </c>
      <c r="G11" s="3" t="s">
        <v>4</v>
      </c>
      <c r="H11">
        <v>0.85594901466548257</v>
      </c>
      <c r="I11">
        <v>0.83661671995661735</v>
      </c>
      <c r="J11" s="12">
        <v>45446</v>
      </c>
      <c r="L11" s="3" t="s">
        <v>4</v>
      </c>
      <c r="M11">
        <v>1.2626396013966981</v>
      </c>
      <c r="N11">
        <v>1.1111188011649691</v>
      </c>
      <c r="O11" s="12">
        <v>45446</v>
      </c>
      <c r="Q11" s="3" t="s">
        <v>4</v>
      </c>
      <c r="R11">
        <v>1.109853743740888</v>
      </c>
      <c r="S11">
        <v>1.2520020226056821</v>
      </c>
      <c r="T11" s="12">
        <v>45446</v>
      </c>
      <c r="V11" s="68">
        <v>0.91248810427604488</v>
      </c>
      <c r="W11" s="68">
        <v>1.0875118957239549</v>
      </c>
      <c r="X11" s="5">
        <v>45446</v>
      </c>
    </row>
    <row r="12" spans="1:24" x14ac:dyDescent="0.25">
      <c r="A12" s="71"/>
      <c r="B12" s="3" t="s">
        <v>5</v>
      </c>
      <c r="C12">
        <v>0.79930199737580143</v>
      </c>
      <c r="D12">
        <v>0.73240591007954103</v>
      </c>
      <c r="E12" s="5" t="s">
        <v>14</v>
      </c>
      <c r="G12" s="3" t="s">
        <v>5</v>
      </c>
      <c r="H12">
        <v>0.7936326342099318</v>
      </c>
      <c r="I12">
        <v>0.89034511445640274</v>
      </c>
      <c r="J12" s="5" t="s">
        <v>14</v>
      </c>
      <c r="L12" s="3" t="s">
        <v>5</v>
      </c>
      <c r="M12">
        <v>1.0683604659809898</v>
      </c>
      <c r="N12">
        <v>1.1435934086893518</v>
      </c>
      <c r="O12" s="5" t="s">
        <v>14</v>
      </c>
      <c r="Q12" s="3" t="s">
        <v>5</v>
      </c>
      <c r="R12">
        <v>1.1169306160827266</v>
      </c>
      <c r="S12">
        <v>1.0745111684204276</v>
      </c>
      <c r="T12" s="5" t="s">
        <v>14</v>
      </c>
      <c r="V12" s="68">
        <v>0.92514994271851203</v>
      </c>
      <c r="W12" s="68">
        <v>1.0748500572814881</v>
      </c>
      <c r="X12" s="5" t="s">
        <v>14</v>
      </c>
    </row>
    <row r="13" spans="1:24" x14ac:dyDescent="0.25">
      <c r="A13" s="71"/>
      <c r="B13" s="3" t="s">
        <v>6</v>
      </c>
      <c r="C13">
        <v>0.9290289351698432</v>
      </c>
      <c r="D13">
        <v>0.75754749590666126</v>
      </c>
      <c r="E13" t="s">
        <v>32</v>
      </c>
      <c r="G13" s="3" t="s">
        <v>6</v>
      </c>
      <c r="H13">
        <v>0.9425952956589051</v>
      </c>
      <c r="I13">
        <v>0.96663427545271507</v>
      </c>
      <c r="J13" t="s">
        <v>32</v>
      </c>
      <c r="L13" s="3" t="s">
        <v>6</v>
      </c>
      <c r="M13" s="8">
        <v>1.1994621562334427</v>
      </c>
      <c r="N13" s="8">
        <v>1.3516365984116507</v>
      </c>
      <c r="O13" t="s">
        <v>32</v>
      </c>
      <c r="Q13" s="3" t="s">
        <v>6</v>
      </c>
      <c r="R13">
        <v>1.1120284315751594</v>
      </c>
      <c r="S13">
        <v>1.1621465011820338</v>
      </c>
      <c r="T13" t="s">
        <v>32</v>
      </c>
      <c r="V13" s="68">
        <v>1.0640014130946773</v>
      </c>
      <c r="W13" s="68">
        <v>0.93599858690532267</v>
      </c>
      <c r="X13" t="s">
        <v>32</v>
      </c>
    </row>
    <row r="14" spans="1:24" x14ac:dyDescent="0.25">
      <c r="A14" s="3"/>
      <c r="B14" s="6" t="s">
        <v>7</v>
      </c>
      <c r="C14" s="8">
        <f>AVERAGE(C11:D13)</f>
        <v>0.73925661200182946</v>
      </c>
      <c r="G14" s="6" t="s">
        <v>7</v>
      </c>
      <c r="H14" s="8">
        <f>AVERAGE(H11:I13)</f>
        <v>0.88096217573334235</v>
      </c>
      <c r="L14" s="6" t="s">
        <v>7</v>
      </c>
      <c r="M14" s="8">
        <f>AVERAGE(M11:N13)</f>
        <v>1.1894685053128504</v>
      </c>
      <c r="Q14" s="6" t="s">
        <v>7</v>
      </c>
      <c r="R14" s="8">
        <f>AVERAGE(R11:S13)</f>
        <v>1.1379120806011527</v>
      </c>
    </row>
    <row r="15" spans="1:24" x14ac:dyDescent="0.25">
      <c r="A15" s="3"/>
      <c r="B15" s="3" t="s">
        <v>8</v>
      </c>
      <c r="C15" s="10">
        <f>STDEV(C11:D13)</f>
        <v>0.12178649992724595</v>
      </c>
      <c r="G15" s="3" t="s">
        <v>8</v>
      </c>
      <c r="H15" s="10">
        <f>STDEV(H11:I13)</f>
        <v>6.549048202373671E-2</v>
      </c>
      <c r="L15" s="3" t="s">
        <v>8</v>
      </c>
      <c r="M15" s="10">
        <f>STDEV(M11:N13)</f>
        <v>0.10455881655912032</v>
      </c>
      <c r="Q15" s="3" t="s">
        <v>8</v>
      </c>
      <c r="R15" s="10">
        <f>STDEV(R11:S13)</f>
        <v>6.2483522756705691E-2</v>
      </c>
      <c r="T15" s="5"/>
    </row>
    <row r="16" spans="1:24" x14ac:dyDescent="0.25">
      <c r="A16" s="3"/>
      <c r="B16" s="3"/>
      <c r="C16" s="7"/>
      <c r="G16" s="3"/>
      <c r="H16" s="7"/>
      <c r="L16" s="3"/>
      <c r="M16" s="7"/>
      <c r="Q16" s="3"/>
      <c r="R16" s="7"/>
    </row>
    <row r="17" spans="1:24" x14ac:dyDescent="0.25">
      <c r="E17" s="9"/>
      <c r="J17" s="9"/>
      <c r="O17" s="9"/>
      <c r="T17" s="4"/>
    </row>
    <row r="18" spans="1:24" x14ac:dyDescent="0.25">
      <c r="A18" s="6" t="s">
        <v>15</v>
      </c>
      <c r="B18" s="9"/>
      <c r="C18" s="9" t="s">
        <v>10</v>
      </c>
      <c r="D18" s="9" t="s">
        <v>11</v>
      </c>
      <c r="E18" s="4"/>
      <c r="F18" s="9"/>
      <c r="G18" s="9"/>
      <c r="H18" s="9" t="s">
        <v>10</v>
      </c>
      <c r="I18" s="9" t="s">
        <v>11</v>
      </c>
      <c r="J18" s="4"/>
      <c r="K18" s="9"/>
      <c r="L18" s="9"/>
      <c r="M18" s="9" t="s">
        <v>10</v>
      </c>
      <c r="N18" s="9" t="s">
        <v>11</v>
      </c>
      <c r="O18" s="4"/>
      <c r="P18" s="9"/>
      <c r="Q18" s="9"/>
      <c r="R18" s="9" t="s">
        <v>10</v>
      </c>
      <c r="S18" s="9" t="s">
        <v>11</v>
      </c>
    </row>
    <row r="19" spans="1:24" x14ac:dyDescent="0.25">
      <c r="A19" s="71" t="s">
        <v>12</v>
      </c>
      <c r="B19" s="3" t="s">
        <v>4</v>
      </c>
      <c r="C19">
        <v>0.43059246804026569</v>
      </c>
      <c r="D19">
        <v>0.47870972712591525</v>
      </c>
      <c r="E19" s="12">
        <v>45446</v>
      </c>
      <c r="G19" s="3" t="s">
        <v>4</v>
      </c>
      <c r="H19">
        <v>0.80837682835606006</v>
      </c>
      <c r="I19">
        <v>0.7449737274485132</v>
      </c>
      <c r="J19" s="12">
        <v>45446</v>
      </c>
      <c r="L19" s="3" t="s">
        <v>4</v>
      </c>
      <c r="M19">
        <v>1.0510195274017267</v>
      </c>
      <c r="N19">
        <v>1.0468567971183618</v>
      </c>
      <c r="O19" s="12">
        <v>45446</v>
      </c>
      <c r="Q19" s="3" t="s">
        <v>4</v>
      </c>
      <c r="R19">
        <v>0.97846304522673311</v>
      </c>
      <c r="S19">
        <v>1.019703421106825</v>
      </c>
      <c r="T19" s="12">
        <v>45446</v>
      </c>
      <c r="V19" s="68">
        <v>1.0177692871823194</v>
      </c>
      <c r="W19" s="68">
        <v>0.9822307128176806</v>
      </c>
      <c r="X19" s="5">
        <v>45446</v>
      </c>
    </row>
    <row r="20" spans="1:24" x14ac:dyDescent="0.25">
      <c r="A20" s="71"/>
      <c r="B20" s="3" t="s">
        <v>5</v>
      </c>
      <c r="C20">
        <v>0.64153831669917827</v>
      </c>
      <c r="D20">
        <v>0.57318214371933729</v>
      </c>
      <c r="E20" s="5" t="s">
        <v>14</v>
      </c>
      <c r="G20" s="3" t="s">
        <v>5</v>
      </c>
      <c r="H20">
        <v>0.60628708945815213</v>
      </c>
      <c r="I20">
        <v>0.59228118777488403</v>
      </c>
      <c r="J20" s="5" t="s">
        <v>14</v>
      </c>
      <c r="L20" s="3" t="s">
        <v>5</v>
      </c>
      <c r="M20">
        <v>0.92645366009318741</v>
      </c>
      <c r="N20">
        <v>0.81116814600434384</v>
      </c>
      <c r="O20" s="5" t="s">
        <v>14</v>
      </c>
      <c r="Q20" s="3" t="s">
        <v>5</v>
      </c>
      <c r="R20">
        <v>0.80203734056689924</v>
      </c>
      <c r="S20">
        <v>0.79225380737598738</v>
      </c>
      <c r="T20" s="5" t="s">
        <v>14</v>
      </c>
      <c r="V20" s="68">
        <v>0.91487054106515908</v>
      </c>
      <c r="W20" s="68">
        <v>1.085129458934841</v>
      </c>
      <c r="X20" s="5" t="s">
        <v>14</v>
      </c>
    </row>
    <row r="21" spans="1:24" x14ac:dyDescent="0.25">
      <c r="A21" s="71"/>
      <c r="B21" s="3" t="s">
        <v>6</v>
      </c>
      <c r="C21" s="3">
        <v>0.66936371965664898</v>
      </c>
      <c r="D21">
        <v>0.72230658557303962</v>
      </c>
      <c r="E21" t="s">
        <v>32</v>
      </c>
      <c r="G21" s="3" t="s">
        <v>6</v>
      </c>
      <c r="H21">
        <v>0.8586405486041413</v>
      </c>
      <c r="I21">
        <v>0.85904898436868526</v>
      </c>
      <c r="J21" t="s">
        <v>32</v>
      </c>
      <c r="L21" s="3" t="s">
        <v>6</v>
      </c>
      <c r="M21">
        <v>1.3753235590579493</v>
      </c>
      <c r="N21">
        <v>1.1304664636053441</v>
      </c>
      <c r="O21" t="s">
        <v>32</v>
      </c>
      <c r="Q21" s="3" t="s">
        <v>6</v>
      </c>
      <c r="R21">
        <v>1.0095875619674148</v>
      </c>
      <c r="S21">
        <v>1.0081247167096319</v>
      </c>
      <c r="T21" t="s">
        <v>32</v>
      </c>
      <c r="V21" s="68">
        <v>0.99227396211278651</v>
      </c>
      <c r="W21" s="68">
        <v>1.0077260378872135</v>
      </c>
      <c r="X21" t="s">
        <v>32</v>
      </c>
    </row>
    <row r="22" spans="1:24" x14ac:dyDescent="0.25">
      <c r="A22" s="3"/>
      <c r="B22" s="6" t="s">
        <v>7</v>
      </c>
      <c r="C22" s="8">
        <f>AVERAGE(C19:D21)</f>
        <v>0.58594882680239746</v>
      </c>
      <c r="G22" s="6" t="s">
        <v>7</v>
      </c>
      <c r="H22" s="8">
        <f>AVERAGE(H19:I21)</f>
        <v>0.74493472766840585</v>
      </c>
      <c r="L22" s="6" t="s">
        <v>7</v>
      </c>
      <c r="M22" s="8">
        <f>AVERAGE(M19:N21)</f>
        <v>1.0568813588801522</v>
      </c>
      <c r="Q22" s="6" t="s">
        <v>7</v>
      </c>
      <c r="R22" s="8">
        <f>AVERAGE(R19:S21)</f>
        <v>0.93502831549224863</v>
      </c>
      <c r="V22" s="68"/>
      <c r="W22" s="68"/>
    </row>
    <row r="23" spans="1:24" x14ac:dyDescent="0.25">
      <c r="A23" s="3"/>
      <c r="B23" s="3" t="s">
        <v>8</v>
      </c>
      <c r="C23" s="10">
        <f>STDEV(C19:D21)</f>
        <v>0.11352575480305567</v>
      </c>
      <c r="E23" s="5"/>
      <c r="G23" s="3" t="s">
        <v>8</v>
      </c>
      <c r="H23" s="10">
        <f>STDEV(H19:I21)</f>
        <v>0.12041781411475486</v>
      </c>
      <c r="J23" s="5"/>
      <c r="L23" s="3" t="s">
        <v>8</v>
      </c>
      <c r="M23" s="10">
        <f>STDEV(M19:N21)</f>
        <v>0.19201115748357145</v>
      </c>
      <c r="O23" s="5"/>
      <c r="Q23" s="3" t="s">
        <v>8</v>
      </c>
      <c r="R23" s="10">
        <f>STDEV(R19:S21)</f>
        <v>0.10773093700814082</v>
      </c>
      <c r="V23" s="68"/>
      <c r="W23" s="68"/>
    </row>
    <row r="24" spans="1:24" x14ac:dyDescent="0.25">
      <c r="A24" s="3"/>
      <c r="B24" s="3"/>
      <c r="E24" s="9"/>
      <c r="G24" s="3"/>
      <c r="J24" s="9"/>
      <c r="L24" s="3"/>
      <c r="M24" s="8"/>
      <c r="N24" s="8"/>
      <c r="O24" s="9"/>
      <c r="Q24" s="3"/>
      <c r="V24" s="68"/>
      <c r="W24" s="68"/>
    </row>
    <row r="25" spans="1:24" x14ac:dyDescent="0.25">
      <c r="A25" s="6" t="s">
        <v>15</v>
      </c>
      <c r="B25" s="9"/>
      <c r="C25" s="9" t="s">
        <v>10</v>
      </c>
      <c r="D25" s="9" t="s">
        <v>11</v>
      </c>
      <c r="E25" s="4"/>
      <c r="F25" s="9"/>
      <c r="G25" s="9"/>
      <c r="H25" s="9" t="s">
        <v>10</v>
      </c>
      <c r="I25" s="9" t="s">
        <v>11</v>
      </c>
      <c r="J25" s="4"/>
      <c r="K25" s="9"/>
      <c r="L25" s="9"/>
      <c r="M25" s="9" t="s">
        <v>10</v>
      </c>
      <c r="N25" s="9" t="s">
        <v>11</v>
      </c>
      <c r="O25" s="4"/>
      <c r="P25" s="9"/>
      <c r="Q25" s="9"/>
      <c r="R25" s="9" t="s">
        <v>10</v>
      </c>
      <c r="S25" s="9" t="s">
        <v>11</v>
      </c>
      <c r="V25" s="68"/>
      <c r="W25" s="68"/>
    </row>
    <row r="26" spans="1:24" x14ac:dyDescent="0.25">
      <c r="A26" s="71" t="s">
        <v>13</v>
      </c>
      <c r="B26" s="3" t="s">
        <v>4</v>
      </c>
      <c r="C26">
        <v>0.54747407181795371</v>
      </c>
      <c r="D26">
        <v>0.53626873960922283</v>
      </c>
      <c r="E26" s="12">
        <v>45446</v>
      </c>
      <c r="G26" s="3" t="s">
        <v>4</v>
      </c>
      <c r="H26">
        <v>0.84274821966039637</v>
      </c>
      <c r="I26">
        <v>0.8695663034769916</v>
      </c>
      <c r="J26" s="12">
        <v>45446</v>
      </c>
      <c r="L26" s="3" t="s">
        <v>4</v>
      </c>
      <c r="M26">
        <v>0.89453917681122341</v>
      </c>
      <c r="N26">
        <v>0.99342915122857756</v>
      </c>
      <c r="O26" s="12">
        <v>45446</v>
      </c>
      <c r="Q26" s="3" t="s">
        <v>4</v>
      </c>
      <c r="R26">
        <v>1.0137394108898661</v>
      </c>
      <c r="S26">
        <v>1.1448331223049395</v>
      </c>
      <c r="T26" s="12">
        <v>45446</v>
      </c>
      <c r="V26" s="68">
        <v>0.95249665946337125</v>
      </c>
      <c r="W26" s="68">
        <v>1.0475033405366285</v>
      </c>
      <c r="X26" s="5">
        <v>45446</v>
      </c>
    </row>
    <row r="27" spans="1:24" x14ac:dyDescent="0.25">
      <c r="A27" s="71"/>
      <c r="B27" s="3" t="s">
        <v>5</v>
      </c>
      <c r="C27">
        <v>0.6180638505166367</v>
      </c>
      <c r="D27">
        <v>0.62436812796489949</v>
      </c>
      <c r="E27" s="5" t="s">
        <v>14</v>
      </c>
      <c r="G27" s="3" t="s">
        <v>5</v>
      </c>
      <c r="H27">
        <v>0.79905397888740426</v>
      </c>
      <c r="I27">
        <v>0.78981312951726712</v>
      </c>
      <c r="J27" s="5" t="s">
        <v>14</v>
      </c>
      <c r="L27" s="3" t="s">
        <v>5</v>
      </c>
      <c r="M27">
        <v>0.6726062275307656</v>
      </c>
      <c r="N27">
        <v>0.84308038979544253</v>
      </c>
      <c r="O27" s="5" t="s">
        <v>14</v>
      </c>
      <c r="Q27" s="3" t="s">
        <v>5</v>
      </c>
      <c r="R27">
        <v>0.70658079559334208</v>
      </c>
      <c r="S27">
        <v>0.80395464043705855</v>
      </c>
      <c r="T27" s="5" t="s">
        <v>14</v>
      </c>
      <c r="V27" s="68">
        <v>0.96991181945608407</v>
      </c>
      <c r="W27" s="68">
        <v>1.0300881805439159</v>
      </c>
      <c r="X27" s="5" t="s">
        <v>14</v>
      </c>
    </row>
    <row r="28" spans="1:24" x14ac:dyDescent="0.25">
      <c r="A28" s="71"/>
      <c r="B28" s="3" t="s">
        <v>6</v>
      </c>
      <c r="C28" s="3">
        <v>0.87124216740365967</v>
      </c>
      <c r="D28">
        <v>1.0271961480349747</v>
      </c>
      <c r="E28" t="s">
        <v>32</v>
      </c>
      <c r="G28" s="3" t="s">
        <v>6</v>
      </c>
      <c r="H28" s="3">
        <v>1.3188185254523916</v>
      </c>
      <c r="I28">
        <v>1.2191540934282701</v>
      </c>
      <c r="J28" t="s">
        <v>32</v>
      </c>
      <c r="L28" s="3" t="s">
        <v>6</v>
      </c>
      <c r="M28" s="3">
        <v>1.2510679114975571</v>
      </c>
      <c r="N28">
        <v>1.2405582556286385</v>
      </c>
      <c r="O28" t="s">
        <v>32</v>
      </c>
      <c r="Q28" s="3" t="s">
        <v>6</v>
      </c>
      <c r="R28" s="3">
        <v>1.1977288218795044</v>
      </c>
      <c r="S28">
        <v>1.1233211953798179</v>
      </c>
      <c r="T28" t="s">
        <v>32</v>
      </c>
      <c r="V28" s="68">
        <v>0.92677860191230854</v>
      </c>
      <c r="W28" s="68">
        <v>1.0732213980876915</v>
      </c>
      <c r="X28" t="s">
        <v>32</v>
      </c>
    </row>
    <row r="29" spans="1:24" x14ac:dyDescent="0.25">
      <c r="A29" s="3"/>
      <c r="B29" s="6" t="s">
        <v>7</v>
      </c>
      <c r="C29" s="8">
        <f>AVERAGE(C26:D28)</f>
        <v>0.70410218422455773</v>
      </c>
      <c r="G29" s="6" t="s">
        <v>7</v>
      </c>
      <c r="H29" s="8">
        <f>AVERAGE(H26:I28)</f>
        <v>0.97319237507045353</v>
      </c>
      <c r="L29" s="6" t="s">
        <v>7</v>
      </c>
      <c r="M29" s="8">
        <f>AVERAGE(M26:N28)</f>
        <v>0.98254685208203407</v>
      </c>
      <c r="Q29" s="6" t="s">
        <v>7</v>
      </c>
      <c r="R29" s="8">
        <f>AVERAGE(R26:S28)</f>
        <v>0.99835966441408808</v>
      </c>
    </row>
    <row r="30" spans="1:24" x14ac:dyDescent="0.25">
      <c r="A30" s="3"/>
      <c r="B30" s="3" t="s">
        <v>8</v>
      </c>
      <c r="C30" s="10">
        <f>STDEV(C26:D28)</f>
        <v>0.19939209049016815</v>
      </c>
      <c r="G30" s="3" t="s">
        <v>8</v>
      </c>
      <c r="H30" s="10">
        <f>STDEV(H26:I28)</f>
        <v>0.23309258754613538</v>
      </c>
      <c r="L30" s="3" t="s">
        <v>8</v>
      </c>
      <c r="M30" s="10">
        <f>STDEV(M26:N28)</f>
        <v>0.22893287396133333</v>
      </c>
      <c r="Q30" s="3" t="s">
        <v>8</v>
      </c>
      <c r="R30" s="10">
        <f>STDEV(R26:S28)</f>
        <v>0.19999133845032091</v>
      </c>
    </row>
    <row r="31" spans="1:24" x14ac:dyDescent="0.25">
      <c r="E31" s="9"/>
      <c r="J31" s="9"/>
      <c r="O31" s="9"/>
    </row>
    <row r="32" spans="1:24" x14ac:dyDescent="0.25">
      <c r="A32" s="6" t="s">
        <v>9</v>
      </c>
      <c r="B32" s="9"/>
      <c r="C32" s="9" t="s">
        <v>10</v>
      </c>
      <c r="D32" s="9" t="s">
        <v>11</v>
      </c>
      <c r="E32" s="4"/>
      <c r="F32" s="9"/>
      <c r="G32" s="9"/>
      <c r="H32" s="9" t="s">
        <v>10</v>
      </c>
      <c r="I32" s="9" t="s">
        <v>11</v>
      </c>
      <c r="J32" s="4"/>
      <c r="K32" s="9"/>
      <c r="L32" s="9"/>
      <c r="M32" s="9" t="s">
        <v>10</v>
      </c>
      <c r="N32" s="9" t="s">
        <v>11</v>
      </c>
      <c r="O32" s="4"/>
      <c r="P32" s="9"/>
      <c r="Q32" s="9"/>
      <c r="R32" s="9" t="s">
        <v>10</v>
      </c>
      <c r="S32" s="9" t="s">
        <v>11</v>
      </c>
      <c r="V32" s="68"/>
      <c r="W32" s="68"/>
    </row>
    <row r="33" spans="1:24" x14ac:dyDescent="0.25">
      <c r="A33" s="71" t="s">
        <v>12</v>
      </c>
      <c r="B33" s="3" t="s">
        <v>4</v>
      </c>
      <c r="C33">
        <v>0.57523045600913558</v>
      </c>
      <c r="D33">
        <v>0.58935124346117884</v>
      </c>
      <c r="E33" s="12">
        <v>45446</v>
      </c>
      <c r="G33" s="3" t="s">
        <v>4</v>
      </c>
      <c r="H33">
        <v>0.68568369429516729</v>
      </c>
      <c r="I33">
        <v>0.86300213743424847</v>
      </c>
      <c r="J33" s="12">
        <v>45446</v>
      </c>
      <c r="L33" s="3" t="s">
        <v>4</v>
      </c>
      <c r="M33">
        <v>1.1167841201846074</v>
      </c>
      <c r="N33">
        <v>1.1255279426511042</v>
      </c>
      <c r="O33" s="12">
        <v>45446</v>
      </c>
      <c r="Q33" s="3" t="s">
        <v>4</v>
      </c>
      <c r="R33">
        <v>1.1531878575188337</v>
      </c>
      <c r="S33">
        <v>1.2174098540333806</v>
      </c>
      <c r="T33" s="12">
        <v>45446</v>
      </c>
      <c r="V33" s="68">
        <v>1.0282035732611841</v>
      </c>
      <c r="W33" s="68">
        <v>0.97179642673881605</v>
      </c>
      <c r="X33" s="5">
        <v>45446</v>
      </c>
    </row>
    <row r="34" spans="1:24" x14ac:dyDescent="0.25">
      <c r="A34" s="71"/>
      <c r="B34" s="3" t="s">
        <v>5</v>
      </c>
      <c r="C34">
        <v>0.65190907788047081</v>
      </c>
      <c r="D34">
        <v>0.68420511295275355</v>
      </c>
      <c r="E34" s="5" t="s">
        <v>14</v>
      </c>
      <c r="G34" s="3" t="s">
        <v>5</v>
      </c>
      <c r="H34">
        <v>0.72053509644800728</v>
      </c>
      <c r="I34">
        <v>0.67532581545177928</v>
      </c>
      <c r="J34" s="5" t="s">
        <v>14</v>
      </c>
      <c r="L34" s="3" t="s">
        <v>5</v>
      </c>
      <c r="M34">
        <v>1.0702212966793618</v>
      </c>
      <c r="N34">
        <v>1.0101962688634658</v>
      </c>
      <c r="O34" s="5" t="s">
        <v>14</v>
      </c>
      <c r="Q34" s="3" t="s">
        <v>5</v>
      </c>
      <c r="R34">
        <v>0.96916357373711981</v>
      </c>
      <c r="S34">
        <v>0.95153128469272341</v>
      </c>
      <c r="T34" s="5" t="s">
        <v>14</v>
      </c>
      <c r="V34" s="68">
        <v>0.98040359834670554</v>
      </c>
      <c r="W34" s="68">
        <v>1.0195964016532946</v>
      </c>
      <c r="X34" s="5" t="s">
        <v>14</v>
      </c>
    </row>
    <row r="35" spans="1:24" x14ac:dyDescent="0.25">
      <c r="A35" s="71"/>
      <c r="B35" s="3" t="s">
        <v>6</v>
      </c>
      <c r="C35" s="3">
        <v>0.61758185621071671</v>
      </c>
      <c r="D35">
        <v>0.61001777524718881</v>
      </c>
      <c r="E35" t="s">
        <v>32</v>
      </c>
      <c r="G35" s="3" t="s">
        <v>6</v>
      </c>
      <c r="H35" s="3">
        <v>0.73440250017783715</v>
      </c>
      <c r="I35">
        <v>0.80658572018939012</v>
      </c>
      <c r="J35" t="s">
        <v>32</v>
      </c>
      <c r="L35" s="3" t="s">
        <v>6</v>
      </c>
      <c r="M35">
        <v>0.96648794258894277</v>
      </c>
      <c r="N35">
        <v>1.1608731047289749</v>
      </c>
      <c r="O35" t="s">
        <v>32</v>
      </c>
      <c r="Q35" s="3" t="s">
        <v>6</v>
      </c>
      <c r="R35" s="3">
        <v>1.0534970518690872</v>
      </c>
      <c r="S35">
        <v>1.0431752293007426</v>
      </c>
      <c r="T35" t="s">
        <v>32</v>
      </c>
      <c r="V35" s="68">
        <v>0.90350248565318236</v>
      </c>
      <c r="W35" s="68">
        <v>1.0964975143468179</v>
      </c>
      <c r="X35" t="s">
        <v>32</v>
      </c>
    </row>
    <row r="36" spans="1:24" x14ac:dyDescent="0.25">
      <c r="A36" s="3"/>
      <c r="B36" s="6" t="s">
        <v>7</v>
      </c>
      <c r="C36" s="8">
        <f>AVERAGE(C33:D35)</f>
        <v>0.62138258696024073</v>
      </c>
      <c r="G36" s="6" t="s">
        <v>7</v>
      </c>
      <c r="H36" s="8">
        <f>AVERAGE(H33:I35)</f>
        <v>0.74758916066607162</v>
      </c>
      <c r="L36" s="6" t="s">
        <v>7</v>
      </c>
      <c r="M36" s="8">
        <f>AVERAGE(M33:N35)</f>
        <v>1.0750151126160761</v>
      </c>
      <c r="Q36" s="6" t="s">
        <v>7</v>
      </c>
      <c r="R36" s="8">
        <f>AVERAGE(R33:S35)</f>
        <v>1.0646608085253146</v>
      </c>
      <c r="V36" s="68"/>
      <c r="W36" s="68"/>
    </row>
    <row r="37" spans="1:24" x14ac:dyDescent="0.25">
      <c r="A37" s="3"/>
      <c r="B37" s="3" t="s">
        <v>8</v>
      </c>
      <c r="C37" s="10">
        <f>STDEV(C33:D35)</f>
        <v>4.0442964968382795E-2</v>
      </c>
      <c r="G37" s="3" t="s">
        <v>8</v>
      </c>
      <c r="H37" s="10">
        <f>STDEV(H33:I35)</f>
        <v>7.3158509383101103E-2</v>
      </c>
      <c r="L37" s="3" t="s">
        <v>8</v>
      </c>
      <c r="M37" s="10">
        <f>STDEV(M33:N35)</f>
        <v>7.4391398174553702E-2</v>
      </c>
      <c r="Q37" s="3" t="s">
        <v>8</v>
      </c>
      <c r="R37" s="10">
        <f>STDEV(R33:S35)</f>
        <v>0.1036084744595744</v>
      </c>
      <c r="V37" s="68"/>
      <c r="W37" s="68"/>
    </row>
    <row r="38" spans="1:24" x14ac:dyDescent="0.25">
      <c r="A38" s="3"/>
      <c r="B38" s="3"/>
      <c r="C38" s="3"/>
      <c r="E38" s="5"/>
      <c r="G38" s="3"/>
      <c r="H38" s="3"/>
      <c r="J38" s="5"/>
      <c r="L38" s="3"/>
      <c r="M38" s="3"/>
      <c r="O38" s="5"/>
      <c r="Q38" s="3"/>
      <c r="R38" s="3"/>
      <c r="V38" s="68"/>
      <c r="W38" s="68"/>
    </row>
    <row r="39" spans="1:24" x14ac:dyDescent="0.25">
      <c r="A39" s="6" t="s">
        <v>9</v>
      </c>
      <c r="B39" s="9"/>
      <c r="C39" s="9" t="s">
        <v>10</v>
      </c>
      <c r="D39" s="9" t="s">
        <v>11</v>
      </c>
      <c r="E39" s="9"/>
      <c r="F39" s="9"/>
      <c r="G39" s="9"/>
      <c r="H39" s="9" t="s">
        <v>10</v>
      </c>
      <c r="I39" s="9" t="s">
        <v>11</v>
      </c>
      <c r="J39" s="9"/>
      <c r="K39" s="9"/>
      <c r="L39" s="9"/>
      <c r="M39" s="9" t="s">
        <v>10</v>
      </c>
      <c r="N39" s="9" t="s">
        <v>11</v>
      </c>
      <c r="O39" s="9"/>
      <c r="P39" s="9"/>
      <c r="Q39" s="9"/>
      <c r="R39" s="9" t="s">
        <v>10</v>
      </c>
      <c r="S39" s="9" t="s">
        <v>11</v>
      </c>
      <c r="V39" s="68"/>
      <c r="W39" s="68"/>
    </row>
    <row r="40" spans="1:24" x14ac:dyDescent="0.25">
      <c r="A40" s="71" t="s">
        <v>13</v>
      </c>
      <c r="B40" s="3" t="s">
        <v>4</v>
      </c>
      <c r="C40">
        <v>0.73430962931817823</v>
      </c>
      <c r="D40">
        <v>0.80558095313413947</v>
      </c>
      <c r="E40" s="12">
        <v>45446</v>
      </c>
      <c r="G40" s="3" t="s">
        <v>4</v>
      </c>
      <c r="H40">
        <v>0.90224633948658939</v>
      </c>
      <c r="I40">
        <v>0.90998295217151803</v>
      </c>
      <c r="J40" s="12">
        <v>45446</v>
      </c>
      <c r="L40" s="3" t="s">
        <v>4</v>
      </c>
      <c r="M40">
        <v>1.0335680208768487</v>
      </c>
      <c r="N40">
        <v>1.2892106152854377</v>
      </c>
      <c r="O40" s="12">
        <v>45446</v>
      </c>
      <c r="Q40" s="3" t="s">
        <v>4</v>
      </c>
      <c r="R40">
        <v>1.0649234883764362</v>
      </c>
      <c r="S40">
        <v>1.0489315635438996</v>
      </c>
      <c r="T40" s="12">
        <v>45446</v>
      </c>
      <c r="V40" s="68">
        <v>0.93461172753686872</v>
      </c>
      <c r="W40" s="68">
        <v>1.0653882724631314</v>
      </c>
      <c r="X40" s="5">
        <v>45446</v>
      </c>
    </row>
    <row r="41" spans="1:24" x14ac:dyDescent="0.25">
      <c r="A41" s="71"/>
      <c r="B41" s="3" t="s">
        <v>5</v>
      </c>
      <c r="C41">
        <v>1.0578363026850779</v>
      </c>
      <c r="D41">
        <v>1.0661183056733212</v>
      </c>
      <c r="E41" s="5" t="s">
        <v>14</v>
      </c>
      <c r="G41" s="3" t="s">
        <v>5</v>
      </c>
      <c r="H41">
        <v>0.89507364490575225</v>
      </c>
      <c r="I41">
        <v>0.91153697789274146</v>
      </c>
      <c r="J41" s="5" t="s">
        <v>14</v>
      </c>
      <c r="L41" s="3" t="s">
        <v>5</v>
      </c>
      <c r="M41">
        <v>0.9738882805671234</v>
      </c>
      <c r="N41">
        <v>0.98353398886074372</v>
      </c>
      <c r="O41" s="5" t="s">
        <v>14</v>
      </c>
      <c r="Q41" s="3" t="s">
        <v>5</v>
      </c>
      <c r="R41">
        <v>1.1912073397999645</v>
      </c>
      <c r="S41">
        <v>1.2258917387810941</v>
      </c>
      <c r="T41" s="5" t="s">
        <v>14</v>
      </c>
      <c r="V41" s="68">
        <v>0.96767899942503122</v>
      </c>
      <c r="W41" s="68">
        <v>1.032321000574969</v>
      </c>
      <c r="X41" s="5" t="s">
        <v>14</v>
      </c>
    </row>
    <row r="42" spans="1:24" x14ac:dyDescent="0.25">
      <c r="A42" s="71"/>
      <c r="B42" s="3" t="s">
        <v>6</v>
      </c>
      <c r="C42" s="3">
        <v>0.98525737447909156</v>
      </c>
      <c r="D42">
        <v>1.0042092483336924</v>
      </c>
      <c r="E42" t="s">
        <v>32</v>
      </c>
      <c r="G42" s="3" t="s">
        <v>6</v>
      </c>
      <c r="H42" s="3">
        <v>0.92789936511901316</v>
      </c>
      <c r="I42">
        <v>0.95666136176738925</v>
      </c>
      <c r="J42" t="s">
        <v>32</v>
      </c>
      <c r="L42" s="3" t="s">
        <v>6</v>
      </c>
      <c r="M42" s="3">
        <v>1.1578299821995572</v>
      </c>
      <c r="N42">
        <v>0.99032339735471486</v>
      </c>
      <c r="O42" t="s">
        <v>32</v>
      </c>
      <c r="Q42" s="3" t="s">
        <v>6</v>
      </c>
      <c r="R42" s="3">
        <v>1.1086134836777677</v>
      </c>
      <c r="S42">
        <v>1.0372460765097489</v>
      </c>
      <c r="T42" t="s">
        <v>32</v>
      </c>
      <c r="V42" s="68">
        <v>0.94295297650775478</v>
      </c>
      <c r="W42" s="68">
        <v>1.0570470234922451</v>
      </c>
      <c r="X42" t="s">
        <v>32</v>
      </c>
    </row>
    <row r="43" spans="1:24" x14ac:dyDescent="0.25">
      <c r="A43" s="3"/>
      <c r="B43" s="6" t="s">
        <v>7</v>
      </c>
      <c r="C43" s="8">
        <f>AVERAGE(C40:D42)</f>
        <v>0.94221863560391694</v>
      </c>
      <c r="G43" s="6" t="s">
        <v>7</v>
      </c>
      <c r="H43" s="8">
        <f>AVERAGE(H40:I42)</f>
        <v>0.9172334402238338</v>
      </c>
      <c r="L43" s="6" t="s">
        <v>7</v>
      </c>
      <c r="M43" s="8">
        <f>AVERAGE(M40:N42)</f>
        <v>1.0713923808574044</v>
      </c>
      <c r="Q43" s="6" t="s">
        <v>7</v>
      </c>
      <c r="R43" s="8">
        <f>AVERAGE(R40:S42)</f>
        <v>1.1128022817814853</v>
      </c>
    </row>
    <row r="44" spans="1:24" x14ac:dyDescent="0.25">
      <c r="A44" s="3"/>
      <c r="B44" s="3" t="s">
        <v>8</v>
      </c>
      <c r="C44" s="10">
        <f>STDEV(C40:D42)</f>
        <v>0.13878742987793247</v>
      </c>
      <c r="G44" s="3" t="s">
        <v>8</v>
      </c>
      <c r="H44" s="10">
        <f>STDEV(H40:I42)</f>
        <v>2.2221664781236709E-2</v>
      </c>
      <c r="L44" s="3" t="s">
        <v>8</v>
      </c>
      <c r="M44" s="10">
        <f>STDEV(M40:N42)</f>
        <v>0.12660588539786263</v>
      </c>
      <c r="Q44" s="3" t="s">
        <v>8</v>
      </c>
      <c r="R44" s="10">
        <f>STDEV(R40:S42)</f>
        <v>7.8784150814836335E-2</v>
      </c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Y46"/>
  <sheetViews>
    <sheetView tabSelected="1" topLeftCell="A19" zoomScaleNormal="100" workbookViewId="0">
      <selection activeCell="X33" sqref="W33:X35"/>
    </sheetView>
  </sheetViews>
  <sheetFormatPr defaultRowHeight="15" x14ac:dyDescent="0.25"/>
  <cols>
    <col min="4" max="4" width="9.5703125" bestFit="1" customWidth="1"/>
    <col min="5" max="5" width="9.7109375" bestFit="1" customWidth="1"/>
  </cols>
  <sheetData>
    <row r="1" spans="1:25" s="2" customFormat="1" ht="20.25" thickBot="1" x14ac:dyDescent="0.35">
      <c r="A1" s="1" t="s">
        <v>24</v>
      </c>
    </row>
    <row r="2" spans="1:25" ht="15.75" thickTop="1" x14ac:dyDescent="0.25">
      <c r="C2">
        <v>3</v>
      </c>
      <c r="D2" t="s">
        <v>1</v>
      </c>
      <c r="E2" t="s">
        <v>2</v>
      </c>
      <c r="H2">
        <v>1</v>
      </c>
      <c r="I2" t="s">
        <v>1</v>
      </c>
      <c r="J2" t="s">
        <v>2</v>
      </c>
      <c r="M2">
        <v>0.3</v>
      </c>
      <c r="N2" t="s">
        <v>1</v>
      </c>
      <c r="O2" t="s">
        <v>2</v>
      </c>
      <c r="R2">
        <v>0.1</v>
      </c>
      <c r="S2" t="s">
        <v>1</v>
      </c>
      <c r="T2" t="s">
        <v>2</v>
      </c>
      <c r="W2" t="s">
        <v>34</v>
      </c>
      <c r="Y2" t="s">
        <v>2</v>
      </c>
    </row>
    <row r="3" spans="1:25" x14ac:dyDescent="0.25">
      <c r="A3" s="6" t="s">
        <v>3</v>
      </c>
      <c r="B3" s="9"/>
      <c r="C3" s="9" t="s">
        <v>10</v>
      </c>
      <c r="D3" s="9" t="s">
        <v>11</v>
      </c>
      <c r="E3" s="9"/>
      <c r="F3" s="9"/>
      <c r="G3" s="9"/>
      <c r="H3" s="9" t="s">
        <v>10</v>
      </c>
      <c r="I3" s="9" t="s">
        <v>11</v>
      </c>
      <c r="J3" s="9"/>
      <c r="K3" s="9"/>
      <c r="L3" s="9"/>
      <c r="M3" s="9" t="s">
        <v>10</v>
      </c>
      <c r="N3" s="9" t="s">
        <v>11</v>
      </c>
      <c r="O3" s="9"/>
      <c r="P3" s="9"/>
      <c r="Q3" s="9"/>
      <c r="R3" s="9" t="s">
        <v>10</v>
      </c>
      <c r="S3" s="9" t="s">
        <v>11</v>
      </c>
      <c r="W3" s="9" t="s">
        <v>10</v>
      </c>
      <c r="X3" s="9" t="s">
        <v>11</v>
      </c>
    </row>
    <row r="4" spans="1:25" x14ac:dyDescent="0.25">
      <c r="A4" s="71" t="s">
        <v>12</v>
      </c>
      <c r="B4" s="3" t="s">
        <v>4</v>
      </c>
      <c r="C4">
        <v>86.900934347139483</v>
      </c>
      <c r="D4">
        <v>93.15857969229333</v>
      </c>
      <c r="E4" s="31" t="s">
        <v>28</v>
      </c>
      <c r="G4" s="3" t="s">
        <v>4</v>
      </c>
      <c r="H4" s="65">
        <v>0.83547399169725778</v>
      </c>
      <c r="I4" s="65">
        <v>0.88325111783507515</v>
      </c>
      <c r="J4" s="39" t="s">
        <v>33</v>
      </c>
      <c r="L4" s="3" t="s">
        <v>4</v>
      </c>
      <c r="M4" s="66">
        <v>0.89727882300425887</v>
      </c>
      <c r="N4" s="66">
        <v>0.9053194804655964</v>
      </c>
      <c r="O4" s="39" t="s">
        <v>33</v>
      </c>
      <c r="Q4" s="3" t="s">
        <v>4</v>
      </c>
      <c r="R4" s="65">
        <v>0.94235815030811854</v>
      </c>
      <c r="S4" s="65">
        <v>1.0064903361052933</v>
      </c>
      <c r="T4" s="39" t="s">
        <v>33</v>
      </c>
      <c r="W4" s="68">
        <v>0.97620568251344408</v>
      </c>
      <c r="X4" s="68">
        <v>1.0237943174865558</v>
      </c>
      <c r="Y4" s="39" t="s">
        <v>33</v>
      </c>
    </row>
    <row r="5" spans="1:25" x14ac:dyDescent="0.25">
      <c r="A5" s="71"/>
      <c r="B5" s="3" t="s">
        <v>5</v>
      </c>
      <c r="C5">
        <v>74.104532577863722</v>
      </c>
      <c r="D5">
        <v>78.260395484924487</v>
      </c>
      <c r="E5" s="19">
        <v>45597</v>
      </c>
      <c r="G5" s="3" t="s">
        <v>5</v>
      </c>
      <c r="H5" s="65">
        <v>0.78304052837517002</v>
      </c>
      <c r="I5" s="65">
        <v>0.75855766405283287</v>
      </c>
      <c r="J5" t="s">
        <v>35</v>
      </c>
      <c r="L5" s="3" t="s">
        <v>5</v>
      </c>
      <c r="M5" s="66">
        <v>0.78139757717806957</v>
      </c>
      <c r="N5" s="66">
        <v>0.87991297400441126</v>
      </c>
      <c r="O5" t="s">
        <v>35</v>
      </c>
      <c r="Q5" s="3" t="s">
        <v>5</v>
      </c>
      <c r="R5" s="65">
        <v>0.91966516686889788</v>
      </c>
      <c r="S5" s="65">
        <v>0.84624071313498617</v>
      </c>
      <c r="T5" t="s">
        <v>35</v>
      </c>
      <c r="W5" s="68">
        <v>1.0284399963289801</v>
      </c>
      <c r="X5" s="68">
        <v>0.9715600036710198</v>
      </c>
      <c r="Y5" t="s">
        <v>35</v>
      </c>
    </row>
    <row r="6" spans="1:25" x14ac:dyDescent="0.25">
      <c r="A6" s="71"/>
      <c r="B6" s="3" t="s">
        <v>6</v>
      </c>
      <c r="C6" s="38">
        <f>0.938944311058*100</f>
        <v>93.89443110580001</v>
      </c>
      <c r="D6" s="38">
        <f>1.02173403438917*100</f>
        <v>102.17340343891701</v>
      </c>
      <c r="E6" s="5" t="s">
        <v>31</v>
      </c>
      <c r="G6" s="3" t="s">
        <v>6</v>
      </c>
      <c r="H6" s="65">
        <v>0.5402762570081896</v>
      </c>
      <c r="I6" s="65">
        <v>1.0084800240310339</v>
      </c>
      <c r="J6" s="5">
        <v>45386</v>
      </c>
      <c r="L6" s="3" t="s">
        <v>6</v>
      </c>
      <c r="M6" s="8">
        <v>0.87882612278635042</v>
      </c>
      <c r="N6" s="8">
        <v>1.1207931257260353</v>
      </c>
      <c r="O6" s="5">
        <v>45386</v>
      </c>
      <c r="Q6" s="3" t="s">
        <v>6</v>
      </c>
      <c r="R6" s="67">
        <v>1.0816525058903699</v>
      </c>
      <c r="S6" s="67">
        <v>1.0776605540349979</v>
      </c>
      <c r="T6" s="5">
        <v>45386</v>
      </c>
      <c r="W6" s="68">
        <v>1.0004113297668134</v>
      </c>
      <c r="X6" s="68">
        <v>0.99958867023318654</v>
      </c>
      <c r="Y6" s="5">
        <v>45386</v>
      </c>
    </row>
    <row r="7" spans="1:25" x14ac:dyDescent="0.25">
      <c r="A7" s="21"/>
      <c r="B7" s="22" t="s">
        <v>7</v>
      </c>
      <c r="C7" s="18">
        <f>AVERAGE(C4:D6)</f>
        <v>88.082046107823018</v>
      </c>
      <c r="D7" s="20"/>
      <c r="E7" s="20"/>
      <c r="F7" s="20"/>
      <c r="G7" s="22" t="s">
        <v>7</v>
      </c>
      <c r="H7" s="18">
        <f>AVERAGE(H4:I6)</f>
        <v>0.80151326383325994</v>
      </c>
      <c r="I7" s="20"/>
      <c r="J7" s="20"/>
      <c r="K7" s="20"/>
      <c r="L7" s="22" t="s">
        <v>7</v>
      </c>
      <c r="M7" s="18">
        <f>AVERAGE(M4:N6)</f>
        <v>0.91058801719412019</v>
      </c>
      <c r="N7" s="20"/>
      <c r="O7" s="20"/>
      <c r="P7" s="20"/>
      <c r="Q7" s="22" t="s">
        <v>7</v>
      </c>
      <c r="R7" s="18">
        <f>AVERAGE(R4:S6)</f>
        <v>0.97901123772377729</v>
      </c>
      <c r="S7" s="20"/>
      <c r="W7" s="68"/>
      <c r="X7" s="68"/>
    </row>
    <row r="8" spans="1:25" x14ac:dyDescent="0.25">
      <c r="A8" s="21"/>
      <c r="B8" s="21" t="s">
        <v>8</v>
      </c>
      <c r="C8" s="18">
        <f>STDEV(C4:D6)</f>
        <v>10.500972283186275</v>
      </c>
      <c r="D8" s="20"/>
      <c r="E8" s="20"/>
      <c r="F8" s="20"/>
      <c r="G8" s="21" t="s">
        <v>8</v>
      </c>
      <c r="H8" s="18">
        <f>STDEV(H4:I6)</f>
        <v>0.15562830519115678</v>
      </c>
      <c r="I8" s="20"/>
      <c r="J8" s="20"/>
      <c r="K8" s="20"/>
      <c r="L8" s="21" t="s">
        <v>8</v>
      </c>
      <c r="M8" s="18">
        <f>STDEV(M4:N6)</f>
        <v>0.11227735816696134</v>
      </c>
      <c r="N8" s="20"/>
      <c r="O8" s="20"/>
      <c r="P8" s="20"/>
      <c r="Q8" s="21" t="s">
        <v>8</v>
      </c>
      <c r="R8" s="18">
        <f>STDEV(R4:S6)</f>
        <v>9.3290337688287678E-2</v>
      </c>
      <c r="S8" s="20"/>
      <c r="W8" s="68"/>
      <c r="X8" s="68"/>
    </row>
    <row r="9" spans="1:25" x14ac:dyDescent="0.25">
      <c r="A9" s="21"/>
      <c r="B9" s="21"/>
      <c r="C9" s="23"/>
      <c r="D9" s="20"/>
      <c r="E9" s="20"/>
      <c r="F9" s="20"/>
      <c r="G9" s="21"/>
      <c r="H9" s="23"/>
      <c r="I9" s="20"/>
      <c r="J9" s="20"/>
      <c r="K9" s="20"/>
      <c r="L9" s="21"/>
      <c r="M9" s="23"/>
      <c r="N9" s="20"/>
      <c r="O9" s="20"/>
      <c r="P9" s="20"/>
      <c r="Q9" s="21"/>
      <c r="R9" s="23"/>
      <c r="S9" s="20"/>
      <c r="W9" s="68"/>
      <c r="X9" s="68"/>
    </row>
    <row r="10" spans="1:25" x14ac:dyDescent="0.25">
      <c r="A10" s="22" t="s">
        <v>3</v>
      </c>
      <c r="B10" s="24"/>
      <c r="C10" s="24" t="s">
        <v>10</v>
      </c>
      <c r="D10" s="24" t="s">
        <v>11</v>
      </c>
      <c r="E10" s="24"/>
      <c r="F10" s="24"/>
      <c r="G10" s="24"/>
      <c r="H10" s="24" t="s">
        <v>10</v>
      </c>
      <c r="I10" s="24" t="s">
        <v>11</v>
      </c>
      <c r="J10" s="24"/>
      <c r="K10" s="24"/>
      <c r="L10" s="24"/>
      <c r="M10" s="24" t="s">
        <v>10</v>
      </c>
      <c r="N10" s="24" t="s">
        <v>11</v>
      </c>
      <c r="O10" s="24"/>
      <c r="P10" s="24"/>
      <c r="Q10" s="24"/>
      <c r="R10" s="24" t="s">
        <v>10</v>
      </c>
      <c r="S10" s="24" t="s">
        <v>11</v>
      </c>
      <c r="W10" s="68"/>
      <c r="X10" s="68"/>
    </row>
    <row r="11" spans="1:25" x14ac:dyDescent="0.25">
      <c r="A11" s="72" t="s">
        <v>13</v>
      </c>
      <c r="B11" s="21" t="s">
        <v>4</v>
      </c>
      <c r="C11" s="20">
        <v>100.58287005665771</v>
      </c>
      <c r="D11" s="20">
        <v>95.785345556203154</v>
      </c>
      <c r="E11" s="32" t="s">
        <v>28</v>
      </c>
      <c r="F11" s="20"/>
      <c r="G11" s="21" t="s">
        <v>4</v>
      </c>
      <c r="H11" s="65">
        <v>0.87652829545705102</v>
      </c>
      <c r="I11" s="65">
        <v>0.95871292360875138</v>
      </c>
      <c r="J11" s="39" t="s">
        <v>33</v>
      </c>
      <c r="K11" s="20"/>
      <c r="L11" s="21" t="s">
        <v>4</v>
      </c>
      <c r="M11" s="65">
        <v>1.10669424723008</v>
      </c>
      <c r="N11" s="65">
        <v>1.0216083741156565</v>
      </c>
      <c r="O11" s="39" t="s">
        <v>33</v>
      </c>
      <c r="P11" s="20"/>
      <c r="Q11" s="21" t="s">
        <v>4</v>
      </c>
      <c r="R11" s="65">
        <v>0.98661437274314712</v>
      </c>
      <c r="S11" s="65">
        <v>1.0942267712276468</v>
      </c>
      <c r="T11" s="39" t="s">
        <v>33</v>
      </c>
      <c r="W11" s="68">
        <v>1.0164281702019711</v>
      </c>
      <c r="X11" s="68">
        <v>0.98357182979802893</v>
      </c>
      <c r="Y11" s="39" t="s">
        <v>33</v>
      </c>
    </row>
    <row r="12" spans="1:25" x14ac:dyDescent="0.25">
      <c r="A12" s="72"/>
      <c r="B12" s="21" t="s">
        <v>5</v>
      </c>
      <c r="C12" s="20">
        <v>93.63869796155943</v>
      </c>
      <c r="D12" s="20">
        <v>92.626322940046549</v>
      </c>
      <c r="E12" s="19">
        <v>45597</v>
      </c>
      <c r="F12" s="20"/>
      <c r="G12" s="21" t="s">
        <v>5</v>
      </c>
      <c r="H12" s="65">
        <v>0.84235197908930171</v>
      </c>
      <c r="I12" s="65">
        <v>0.87837562142861014</v>
      </c>
      <c r="J12" t="s">
        <v>35</v>
      </c>
      <c r="K12" s="20"/>
      <c r="L12" s="21" t="s">
        <v>5</v>
      </c>
      <c r="M12" s="65">
        <v>0.85203498864798899</v>
      </c>
      <c r="N12" s="65">
        <v>0.96385666676814263</v>
      </c>
      <c r="O12" t="s">
        <v>35</v>
      </c>
      <c r="P12" s="20"/>
      <c r="Q12" s="21" t="s">
        <v>5</v>
      </c>
      <c r="R12" s="65">
        <v>0.95967519851966909</v>
      </c>
      <c r="S12" s="65">
        <v>1.0816554082430772</v>
      </c>
      <c r="T12" t="s">
        <v>35</v>
      </c>
      <c r="W12" s="68">
        <v>1.0558292021644677</v>
      </c>
      <c r="X12" s="68">
        <v>0.94417079783553204</v>
      </c>
      <c r="Y12" t="s">
        <v>35</v>
      </c>
    </row>
    <row r="13" spans="1:25" x14ac:dyDescent="0.25">
      <c r="A13" s="72"/>
      <c r="B13" s="21" t="s">
        <v>6</v>
      </c>
      <c r="C13" s="20">
        <f>0.894888266764392*100</f>
        <v>89.488826676439203</v>
      </c>
      <c r="D13" s="20">
        <f>0.933268694691421*100</f>
        <v>93.32686946914211</v>
      </c>
      <c r="E13" s="5" t="s">
        <v>31</v>
      </c>
      <c r="F13" s="20"/>
      <c r="G13" s="21" t="s">
        <v>6</v>
      </c>
      <c r="H13" s="65">
        <v>0.97253328950342366</v>
      </c>
      <c r="I13" s="65">
        <v>1.0365935467816687</v>
      </c>
      <c r="J13" s="5">
        <v>45386</v>
      </c>
      <c r="K13" s="20"/>
      <c r="L13" s="21" t="s">
        <v>6</v>
      </c>
      <c r="M13" s="10">
        <v>0.93813313499647044</v>
      </c>
      <c r="N13" s="10">
        <v>1.0013334789107966</v>
      </c>
      <c r="O13" s="5">
        <v>45386</v>
      </c>
      <c r="P13" s="20"/>
      <c r="Q13" s="21" t="s">
        <v>6</v>
      </c>
      <c r="R13" s="65">
        <v>1.0714291977344896</v>
      </c>
      <c r="S13" s="65">
        <v>1.0351854454017833</v>
      </c>
      <c r="T13" s="5">
        <v>45386</v>
      </c>
      <c r="W13" s="68">
        <v>0.97917679826694382</v>
      </c>
      <c r="X13" s="68">
        <v>1.0208232017330563</v>
      </c>
      <c r="Y13" s="5">
        <v>45386</v>
      </c>
    </row>
    <row r="14" spans="1:25" x14ac:dyDescent="0.25">
      <c r="A14" s="21"/>
      <c r="B14" s="22" t="s">
        <v>7</v>
      </c>
      <c r="C14" s="18">
        <f>AVERAGE(C11:D13)</f>
        <v>94.2414887766747</v>
      </c>
      <c r="D14" s="20"/>
      <c r="E14" s="20"/>
      <c r="F14" s="20"/>
      <c r="G14" s="22" t="s">
        <v>7</v>
      </c>
      <c r="H14" s="18">
        <f>AVERAGE(H11:I13)</f>
        <v>0.92751594264480097</v>
      </c>
      <c r="I14" s="20"/>
      <c r="J14" s="20"/>
      <c r="K14" s="20"/>
      <c r="L14" s="22" t="s">
        <v>7</v>
      </c>
      <c r="M14" s="18">
        <f>AVERAGE(M11:N13)</f>
        <v>0.98061014844485594</v>
      </c>
      <c r="N14" s="20"/>
      <c r="O14" s="20"/>
      <c r="P14" s="20"/>
      <c r="Q14" s="22" t="s">
        <v>7</v>
      </c>
      <c r="R14" s="18">
        <f>AVERAGE(R11:S13)</f>
        <v>1.0381310656449687</v>
      </c>
      <c r="S14" s="20"/>
    </row>
    <row r="15" spans="1:25" x14ac:dyDescent="0.25">
      <c r="A15" s="21"/>
      <c r="B15" s="21" t="s">
        <v>8</v>
      </c>
      <c r="C15" s="18">
        <f>STDEV(C11:D13)</f>
        <v>3.7146481194627112</v>
      </c>
      <c r="D15" s="20"/>
      <c r="E15" s="20"/>
      <c r="F15" s="20"/>
      <c r="G15" s="21" t="s">
        <v>8</v>
      </c>
      <c r="H15" s="18">
        <f>STDEV(H11:I13)</f>
        <v>7.3709088838689554E-2</v>
      </c>
      <c r="I15" s="20"/>
      <c r="J15" s="20"/>
      <c r="K15" s="20"/>
      <c r="L15" s="21" t="s">
        <v>8</v>
      </c>
      <c r="M15" s="18">
        <f>STDEV(M11:N13)</f>
        <v>8.5585113701873161E-2</v>
      </c>
      <c r="N15" s="20"/>
      <c r="O15" s="20"/>
      <c r="P15" s="20"/>
      <c r="Q15" s="21" t="s">
        <v>8</v>
      </c>
      <c r="R15" s="18">
        <f>STDEV(R11:S13)</f>
        <v>5.4713493027968026E-2</v>
      </c>
      <c r="S15" s="20"/>
    </row>
    <row r="16" spans="1:25" x14ac:dyDescent="0.25">
      <c r="A16" s="21"/>
      <c r="B16" s="21"/>
      <c r="C16" s="23"/>
      <c r="D16" s="20"/>
      <c r="E16" s="20"/>
      <c r="F16" s="20"/>
      <c r="G16" s="21"/>
      <c r="H16" s="23"/>
      <c r="I16" s="20"/>
      <c r="J16" s="20"/>
      <c r="K16" s="20"/>
      <c r="L16" s="21"/>
      <c r="M16" s="23"/>
      <c r="N16" s="20"/>
      <c r="O16" s="20"/>
      <c r="P16" s="20"/>
      <c r="Q16" s="21"/>
      <c r="R16" s="23"/>
      <c r="S16" s="20"/>
      <c r="T16" s="5"/>
    </row>
    <row r="17" spans="1:25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25" x14ac:dyDescent="0.25">
      <c r="A18" s="22" t="s">
        <v>15</v>
      </c>
      <c r="B18" s="24"/>
      <c r="C18" s="24" t="s">
        <v>10</v>
      </c>
      <c r="D18" s="24" t="s">
        <v>11</v>
      </c>
      <c r="E18" s="24"/>
      <c r="F18" s="24"/>
      <c r="G18" s="24"/>
      <c r="H18" s="24" t="s">
        <v>10</v>
      </c>
      <c r="I18" s="24" t="s">
        <v>11</v>
      </c>
      <c r="J18" s="24"/>
      <c r="K18" s="24"/>
      <c r="L18" s="24"/>
      <c r="M18" s="24" t="s">
        <v>10</v>
      </c>
      <c r="N18" s="24" t="s">
        <v>11</v>
      </c>
      <c r="O18" s="24"/>
      <c r="P18" s="24"/>
      <c r="Q18" s="24"/>
      <c r="R18" s="24" t="s">
        <v>10</v>
      </c>
      <c r="S18" s="24" t="s">
        <v>11</v>
      </c>
      <c r="T18" s="4"/>
    </row>
    <row r="19" spans="1:25" x14ac:dyDescent="0.25">
      <c r="A19" s="72" t="s">
        <v>12</v>
      </c>
      <c r="B19" s="21" t="s">
        <v>4</v>
      </c>
      <c r="C19" s="20">
        <v>82.038344734217432</v>
      </c>
      <c r="D19" s="20">
        <v>103.8145708446191</v>
      </c>
      <c r="E19" s="32" t="s">
        <v>28</v>
      </c>
      <c r="F19" s="20"/>
      <c r="G19" s="21" t="s">
        <v>4</v>
      </c>
      <c r="H19" s="68">
        <v>0.86017146831966007</v>
      </c>
      <c r="I19" s="68">
        <v>0.85194591241955986</v>
      </c>
      <c r="J19" t="s">
        <v>35</v>
      </c>
      <c r="K19" s="20"/>
      <c r="L19" s="21" t="s">
        <v>4</v>
      </c>
      <c r="M19" s="68">
        <v>0.96966296419495379</v>
      </c>
      <c r="N19" s="68">
        <v>0.90257499019677756</v>
      </c>
      <c r="O19" t="s">
        <v>35</v>
      </c>
      <c r="P19" s="20"/>
      <c r="Q19" s="21" t="s">
        <v>4</v>
      </c>
      <c r="R19" s="68">
        <v>0.95634524590876957</v>
      </c>
      <c r="S19" s="68">
        <v>1.0503181924893552</v>
      </c>
      <c r="T19" t="s">
        <v>35</v>
      </c>
      <c r="W19" s="68">
        <v>1.0268522810974057</v>
      </c>
      <c r="X19" s="68">
        <v>0.97314771890259422</v>
      </c>
      <c r="Y19" t="s">
        <v>35</v>
      </c>
    </row>
    <row r="20" spans="1:25" x14ac:dyDescent="0.25">
      <c r="A20" s="72"/>
      <c r="B20" s="21" t="s">
        <v>5</v>
      </c>
      <c r="C20" s="20">
        <v>64.670935832197102</v>
      </c>
      <c r="D20" s="20">
        <v>62.795168042793634</v>
      </c>
      <c r="E20" s="19">
        <v>45597</v>
      </c>
      <c r="F20" s="20"/>
      <c r="G20" s="21" t="s">
        <v>5</v>
      </c>
      <c r="H20" s="68">
        <v>0.95583572779021297</v>
      </c>
      <c r="I20" s="68">
        <v>0.88796845764190324</v>
      </c>
      <c r="J20" s="5">
        <v>45386</v>
      </c>
      <c r="K20" s="20"/>
      <c r="L20" s="21" t="s">
        <v>5</v>
      </c>
      <c r="M20" s="68">
        <v>0.95355077672972333</v>
      </c>
      <c r="N20" s="68">
        <v>1.0334340236453894</v>
      </c>
      <c r="O20" s="5">
        <v>45386</v>
      </c>
      <c r="P20" s="20"/>
      <c r="Q20" s="21" t="s">
        <v>5</v>
      </c>
      <c r="R20" s="68">
        <v>1.056642523898595</v>
      </c>
      <c r="S20" s="68">
        <v>1.0352245700862905</v>
      </c>
      <c r="T20" s="5">
        <v>45386</v>
      </c>
      <c r="W20" s="68">
        <v>0.95890061382816405</v>
      </c>
      <c r="X20" s="68">
        <v>1.0410993861718361</v>
      </c>
      <c r="Y20" s="5">
        <v>45386</v>
      </c>
    </row>
    <row r="21" spans="1:25" x14ac:dyDescent="0.25">
      <c r="A21" s="72"/>
      <c r="B21" s="21" t="s">
        <v>6</v>
      </c>
      <c r="C21" s="21">
        <f>0.998929854975792*100</f>
        <v>99.892985497579204</v>
      </c>
      <c r="D21" s="20">
        <f>0.920988940100159*100</f>
        <v>92.098894010015897</v>
      </c>
      <c r="E21" s="5" t="s">
        <v>31</v>
      </c>
      <c r="F21" s="20"/>
      <c r="G21" s="21" t="s">
        <v>6</v>
      </c>
      <c r="H21" s="68">
        <v>0.95022455526482219</v>
      </c>
      <c r="I21" s="68">
        <v>0.94196043412419539</v>
      </c>
      <c r="J21" s="5">
        <v>45416</v>
      </c>
      <c r="K21" s="20"/>
      <c r="L21" s="21" t="s">
        <v>6</v>
      </c>
      <c r="M21" s="68">
        <v>0.78912817882827924</v>
      </c>
      <c r="N21" s="68">
        <v>0.91489429989230076</v>
      </c>
      <c r="O21" s="5">
        <v>45416</v>
      </c>
      <c r="P21" s="20"/>
      <c r="Q21" s="21" t="s">
        <v>6</v>
      </c>
      <c r="R21" s="68">
        <v>0.83553867476418064</v>
      </c>
      <c r="S21" s="68">
        <v>0.83253088760159233</v>
      </c>
      <c r="T21" s="5">
        <v>45416</v>
      </c>
      <c r="W21" s="68">
        <v>1.0915243501669187</v>
      </c>
      <c r="X21" s="68">
        <v>0.90847564983308138</v>
      </c>
      <c r="Y21" s="5">
        <v>45416</v>
      </c>
    </row>
    <row r="22" spans="1:25" x14ac:dyDescent="0.25">
      <c r="A22" s="21"/>
      <c r="B22" s="22" t="s">
        <v>7</v>
      </c>
      <c r="C22" s="18">
        <f>AVERAGE(C19:D21)</f>
        <v>84.218483160237056</v>
      </c>
      <c r="D22" s="20"/>
      <c r="E22" s="20"/>
      <c r="F22" s="20"/>
      <c r="G22" s="22" t="s">
        <v>7</v>
      </c>
      <c r="H22" s="18">
        <f>AVERAGE(H19:I21)</f>
        <v>0.9080177592600589</v>
      </c>
      <c r="I22" s="20"/>
      <c r="J22" s="20"/>
      <c r="K22" s="20"/>
      <c r="L22" s="22" t="s">
        <v>7</v>
      </c>
      <c r="M22" s="18">
        <f>AVERAGE(M19:N21)</f>
        <v>0.92720753891457075</v>
      </c>
      <c r="N22" s="20"/>
      <c r="O22" s="20"/>
      <c r="P22" s="20"/>
      <c r="Q22" s="22" t="s">
        <v>7</v>
      </c>
      <c r="R22" s="18">
        <f>AVERAGE(R19:S21)</f>
        <v>0.96110001579146387</v>
      </c>
      <c r="S22" s="20"/>
      <c r="W22" s="68"/>
      <c r="X22" s="68"/>
    </row>
    <row r="23" spans="1:25" x14ac:dyDescent="0.25">
      <c r="A23" s="21"/>
      <c r="B23" s="21" t="s">
        <v>8</v>
      </c>
      <c r="C23" s="18">
        <f>STDEV(C19:D21)</f>
        <v>17.536337085825483</v>
      </c>
      <c r="D23" s="20"/>
      <c r="E23" s="20"/>
      <c r="F23" s="20"/>
      <c r="G23" s="21" t="s">
        <v>8</v>
      </c>
      <c r="H23" s="18">
        <f>STDEV(H19:I21)</f>
        <v>4.7022060738560668E-2</v>
      </c>
      <c r="I23" s="20"/>
      <c r="J23" s="20"/>
      <c r="K23" s="20"/>
      <c r="L23" s="21" t="s">
        <v>8</v>
      </c>
      <c r="M23" s="18">
        <f>STDEV(M19:N21)</f>
        <v>8.1981441029033486E-2</v>
      </c>
      <c r="N23" s="20"/>
      <c r="O23" s="20"/>
      <c r="P23" s="20"/>
      <c r="Q23" s="21" t="s">
        <v>8</v>
      </c>
      <c r="R23" s="18">
        <f>STDEV(R19:S21)</f>
        <v>0.10478643268936567</v>
      </c>
      <c r="S23" s="20"/>
      <c r="W23" s="68"/>
      <c r="X23" s="68"/>
    </row>
    <row r="24" spans="1:25" x14ac:dyDescent="0.25">
      <c r="A24" s="21"/>
      <c r="B24" s="21"/>
      <c r="C24" s="20"/>
      <c r="D24" s="20"/>
      <c r="E24" s="20"/>
      <c r="F24" s="20"/>
      <c r="G24" s="21"/>
      <c r="H24" s="20"/>
      <c r="I24" s="20"/>
      <c r="J24" s="20"/>
      <c r="K24" s="20"/>
      <c r="L24" s="21"/>
      <c r="M24" s="18"/>
      <c r="N24" s="18"/>
      <c r="O24" s="20"/>
      <c r="P24" s="20"/>
      <c r="Q24" s="21"/>
      <c r="R24" s="20"/>
      <c r="S24" s="20"/>
      <c r="W24" s="68"/>
      <c r="X24" s="68"/>
    </row>
    <row r="25" spans="1:25" x14ac:dyDescent="0.25">
      <c r="A25" s="22" t="s">
        <v>15</v>
      </c>
      <c r="B25" s="24"/>
      <c r="C25" s="24" t="s">
        <v>10</v>
      </c>
      <c r="D25" s="24" t="s">
        <v>11</v>
      </c>
      <c r="E25" s="24"/>
      <c r="F25" s="24"/>
      <c r="G25" s="24"/>
      <c r="H25" s="24" t="s">
        <v>10</v>
      </c>
      <c r="I25" s="24" t="s">
        <v>11</v>
      </c>
      <c r="J25" s="24"/>
      <c r="K25" s="24"/>
      <c r="L25" s="24"/>
      <c r="M25" s="24" t="s">
        <v>10</v>
      </c>
      <c r="N25" s="24" t="s">
        <v>11</v>
      </c>
      <c r="O25" s="24"/>
      <c r="P25" s="24"/>
      <c r="Q25" s="24"/>
      <c r="R25" s="24" t="s">
        <v>10</v>
      </c>
      <c r="S25" s="24" t="s">
        <v>11</v>
      </c>
      <c r="W25" s="68"/>
      <c r="X25" s="68"/>
    </row>
    <row r="26" spans="1:25" x14ac:dyDescent="0.25">
      <c r="A26" s="72" t="s">
        <v>13</v>
      </c>
      <c r="B26" s="21" t="s">
        <v>4</v>
      </c>
      <c r="C26" s="20">
        <v>92.893309831728104</v>
      </c>
      <c r="D26" s="20">
        <v>96.34379586904069</v>
      </c>
      <c r="E26" s="32" t="s">
        <v>28</v>
      </c>
      <c r="F26" s="20"/>
      <c r="G26" s="21" t="s">
        <v>4</v>
      </c>
      <c r="H26" s="68">
        <v>0.98705299009008662</v>
      </c>
      <c r="I26" s="68">
        <v>0.99218940262440769</v>
      </c>
      <c r="J26" t="s">
        <v>35</v>
      </c>
      <c r="K26" s="20"/>
      <c r="L26" s="21" t="s">
        <v>4</v>
      </c>
      <c r="M26" s="68">
        <v>1.010530472702734</v>
      </c>
      <c r="N26" s="68">
        <v>0.94795837072645461</v>
      </c>
      <c r="O26" t="s">
        <v>35</v>
      </c>
      <c r="P26" s="20"/>
      <c r="Q26" s="21" t="s">
        <v>4</v>
      </c>
      <c r="R26" s="68">
        <v>1.0963058934198084</v>
      </c>
      <c r="S26" s="68">
        <v>1.0890796246287884</v>
      </c>
      <c r="T26" t="s">
        <v>35</v>
      </c>
      <c r="W26" s="68">
        <v>1.0681668394040365</v>
      </c>
      <c r="X26" s="68">
        <v>0.93183316059596355</v>
      </c>
      <c r="Y26" t="s">
        <v>35</v>
      </c>
    </row>
    <row r="27" spans="1:25" x14ac:dyDescent="0.25">
      <c r="A27" s="72"/>
      <c r="B27" s="21" t="s">
        <v>5</v>
      </c>
      <c r="C27" s="20">
        <v>67.334437215421616</v>
      </c>
      <c r="D27" s="20">
        <v>79.472711913195099</v>
      </c>
      <c r="E27" s="19">
        <v>45597</v>
      </c>
      <c r="F27" s="20"/>
      <c r="G27" s="21" t="s">
        <v>5</v>
      </c>
      <c r="H27" s="68">
        <v>1.0882192735933724</v>
      </c>
      <c r="I27" s="68">
        <v>1.1214349300935949</v>
      </c>
      <c r="J27" s="5">
        <v>45386</v>
      </c>
      <c r="K27" s="20"/>
      <c r="L27" s="21" t="s">
        <v>5</v>
      </c>
      <c r="M27" s="68">
        <v>0.97045069299422271</v>
      </c>
      <c r="N27" s="68">
        <v>1.0114966997720813</v>
      </c>
      <c r="O27" s="5">
        <v>45386</v>
      </c>
      <c r="P27" s="20"/>
      <c r="Q27" s="21" t="s">
        <v>5</v>
      </c>
      <c r="R27" s="68">
        <v>1.0643099689602471</v>
      </c>
      <c r="S27" s="68">
        <v>1.1352094660067091</v>
      </c>
      <c r="T27" s="5">
        <v>45386</v>
      </c>
      <c r="W27" s="68">
        <v>0.95701162847706622</v>
      </c>
      <c r="X27" s="68">
        <v>1.0429883715229338</v>
      </c>
      <c r="Y27" s="5">
        <v>45386</v>
      </c>
    </row>
    <row r="28" spans="1:25" x14ac:dyDescent="0.25">
      <c r="A28" s="72"/>
      <c r="B28" s="21" t="s">
        <v>6</v>
      </c>
      <c r="C28" s="21">
        <f>1.06613234686908*100</f>
        <v>106.613234686908</v>
      </c>
      <c r="D28" s="20">
        <f>1.13567679952249*100</f>
        <v>113.56767995224899</v>
      </c>
      <c r="E28" s="5" t="s">
        <v>31</v>
      </c>
      <c r="F28" s="20"/>
      <c r="G28" s="21" t="s">
        <v>6</v>
      </c>
      <c r="H28" s="69">
        <v>1.13417630651598</v>
      </c>
      <c r="I28" s="68">
        <v>1.2078650024395408</v>
      </c>
      <c r="J28" s="5">
        <v>45416</v>
      </c>
      <c r="K28" s="20"/>
      <c r="L28" s="21" t="s">
        <v>6</v>
      </c>
      <c r="M28" s="69">
        <v>0.96311137843865724</v>
      </c>
      <c r="N28" s="68">
        <v>1.0033330134360123</v>
      </c>
      <c r="O28" s="5">
        <v>45416</v>
      </c>
      <c r="P28" s="20"/>
      <c r="Q28" s="21" t="s">
        <v>6</v>
      </c>
      <c r="R28" s="69">
        <v>1.2183462661125117</v>
      </c>
      <c r="S28" s="68">
        <v>1.1189720835273629</v>
      </c>
      <c r="T28" s="5">
        <v>45416</v>
      </c>
      <c r="W28" s="68">
        <v>1.0755454613150641</v>
      </c>
      <c r="X28" s="68">
        <v>0.92445453868493555</v>
      </c>
      <c r="Y28" s="5">
        <v>45416</v>
      </c>
    </row>
    <row r="29" spans="1:25" x14ac:dyDescent="0.25">
      <c r="A29" s="21"/>
      <c r="B29" s="22" t="s">
        <v>7</v>
      </c>
      <c r="C29" s="18">
        <f>AVERAGE(C26:D28)</f>
        <v>92.704194911423755</v>
      </c>
      <c r="D29" s="20"/>
      <c r="E29" s="20"/>
      <c r="F29" s="20"/>
      <c r="G29" s="22" t="s">
        <v>7</v>
      </c>
      <c r="H29" s="18">
        <f>AVERAGE(H26:I28)</f>
        <v>1.0884896508928303</v>
      </c>
      <c r="I29" s="20"/>
      <c r="J29" s="20"/>
      <c r="K29" s="20"/>
      <c r="L29" s="22" t="s">
        <v>7</v>
      </c>
      <c r="M29" s="18">
        <f>AVERAGE(M26:N28)</f>
        <v>0.98448010467836033</v>
      </c>
      <c r="N29" s="20"/>
      <c r="O29" s="20"/>
      <c r="P29" s="20"/>
      <c r="Q29" s="22" t="s">
        <v>7</v>
      </c>
      <c r="R29" s="18">
        <f>AVERAGE(R26:S28)</f>
        <v>1.1203705504425714</v>
      </c>
      <c r="S29" s="20"/>
    </row>
    <row r="30" spans="1:25" x14ac:dyDescent="0.25">
      <c r="A30" s="21"/>
      <c r="B30" s="21" t="s">
        <v>8</v>
      </c>
      <c r="C30" s="18">
        <f>STDEV(C26:D28)</f>
        <v>17.092253233525266</v>
      </c>
      <c r="D30" s="20"/>
      <c r="E30" s="20"/>
      <c r="F30" s="20"/>
      <c r="G30" s="21" t="s">
        <v>8</v>
      </c>
      <c r="H30" s="18">
        <f>STDEV(H26:I28)</f>
        <v>8.6007375911371781E-2</v>
      </c>
      <c r="I30" s="20"/>
      <c r="J30" s="20"/>
      <c r="K30" s="20"/>
      <c r="L30" s="21" t="s">
        <v>8</v>
      </c>
      <c r="M30" s="18">
        <f>STDEV(M26:N28)</f>
        <v>2.7390634010376277E-2</v>
      </c>
      <c r="N30" s="20"/>
      <c r="O30" s="20"/>
      <c r="P30" s="20"/>
      <c r="Q30" s="21" t="s">
        <v>8</v>
      </c>
      <c r="R30" s="18">
        <f>STDEV(R26:S28)</f>
        <v>5.389324361719703E-2</v>
      </c>
      <c r="S30" s="20"/>
    </row>
    <row r="31" spans="1:25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 spans="1:25" x14ac:dyDescent="0.25">
      <c r="A32" s="22" t="s">
        <v>9</v>
      </c>
      <c r="B32" s="24"/>
      <c r="C32" s="24" t="s">
        <v>10</v>
      </c>
      <c r="D32" s="24" t="s">
        <v>11</v>
      </c>
      <c r="E32" s="24"/>
      <c r="F32" s="24"/>
      <c r="G32" s="24"/>
      <c r="H32" s="24" t="s">
        <v>10</v>
      </c>
      <c r="I32" s="24" t="s">
        <v>11</v>
      </c>
      <c r="J32" s="24"/>
      <c r="K32" s="24"/>
      <c r="L32" s="24"/>
      <c r="M32" s="24" t="s">
        <v>10</v>
      </c>
      <c r="N32" s="24" t="s">
        <v>11</v>
      </c>
      <c r="O32" s="24"/>
      <c r="P32" s="24"/>
      <c r="Q32" s="24"/>
      <c r="R32" s="24" t="s">
        <v>10</v>
      </c>
      <c r="S32" s="24" t="s">
        <v>11</v>
      </c>
    </row>
    <row r="33" spans="1:25" x14ac:dyDescent="0.25">
      <c r="A33" s="72" t="s">
        <v>12</v>
      </c>
      <c r="B33" s="21" t="s">
        <v>4</v>
      </c>
      <c r="C33" s="20">
        <v>69.059259746633003</v>
      </c>
      <c r="D33" s="20">
        <v>63.344982113884228</v>
      </c>
      <c r="E33" s="19">
        <v>45597</v>
      </c>
      <c r="F33" s="20"/>
      <c r="G33" s="21" t="s">
        <v>4</v>
      </c>
      <c r="H33" s="68">
        <v>0.89176673534132944</v>
      </c>
      <c r="I33" s="68">
        <v>0.91813047047841712</v>
      </c>
      <c r="J33" s="25" t="s">
        <v>33</v>
      </c>
      <c r="K33" s="20"/>
      <c r="L33" s="21" t="s">
        <v>4</v>
      </c>
      <c r="M33" s="68">
        <v>1.0511659733160326</v>
      </c>
      <c r="N33" s="68">
        <v>1.1028519709658846</v>
      </c>
      <c r="O33" s="25" t="s">
        <v>33</v>
      </c>
      <c r="P33" s="20"/>
      <c r="Q33" s="21" t="s">
        <v>4</v>
      </c>
      <c r="R33" s="68">
        <v>1.0671596180502807</v>
      </c>
      <c r="S33" s="68">
        <v>1.1120212334992414</v>
      </c>
      <c r="T33" s="25" t="s">
        <v>33</v>
      </c>
      <c r="W33" s="68">
        <v>0.97617094164723495</v>
      </c>
      <c r="X33" s="68">
        <v>1.02382905835277</v>
      </c>
      <c r="Y33" s="39" t="s">
        <v>33</v>
      </c>
    </row>
    <row r="34" spans="1:25" x14ac:dyDescent="0.25">
      <c r="A34" s="72"/>
      <c r="B34" s="21" t="s">
        <v>5</v>
      </c>
      <c r="C34" s="20">
        <v>55.030361250647374</v>
      </c>
      <c r="D34" s="20">
        <v>51.940295404687163</v>
      </c>
      <c r="E34" s="27" t="s">
        <v>30</v>
      </c>
      <c r="F34" s="20"/>
      <c r="G34" s="21" t="s">
        <v>5</v>
      </c>
      <c r="H34" s="68">
        <v>1.0107706959139648</v>
      </c>
      <c r="I34" s="68">
        <v>0.9820227045296418</v>
      </c>
      <c r="J34" s="5">
        <v>45386</v>
      </c>
      <c r="K34" s="20"/>
      <c r="L34" s="21" t="s">
        <v>5</v>
      </c>
      <c r="M34" s="68">
        <v>1.1562668544827097</v>
      </c>
      <c r="N34" s="68">
        <v>1.2001674599975021</v>
      </c>
      <c r="O34" s="5">
        <v>45386</v>
      </c>
      <c r="P34" s="20"/>
      <c r="Q34" s="21" t="s">
        <v>5</v>
      </c>
      <c r="R34" s="68">
        <v>1.3266378357330444</v>
      </c>
      <c r="S34" s="68">
        <v>1.1806922858037348</v>
      </c>
      <c r="T34" s="5">
        <v>45386</v>
      </c>
      <c r="U34" s="5"/>
      <c r="W34" s="68">
        <v>1.0279248218237713</v>
      </c>
      <c r="X34" s="68">
        <v>0.97207517817622857</v>
      </c>
      <c r="Y34" s="5">
        <v>45386</v>
      </c>
    </row>
    <row r="35" spans="1:25" x14ac:dyDescent="0.25">
      <c r="A35" s="72"/>
      <c r="B35" s="21" t="s">
        <v>6</v>
      </c>
      <c r="C35" s="21">
        <v>84.051260468274819</v>
      </c>
      <c r="D35" s="20">
        <v>73.975309997337376</v>
      </c>
      <c r="E35" s="27" t="s">
        <v>30</v>
      </c>
      <c r="F35" s="20"/>
      <c r="G35" s="21" t="s">
        <v>6</v>
      </c>
      <c r="H35" s="69">
        <v>1.1016265380363699</v>
      </c>
      <c r="I35" s="68">
        <v>0.98977245489019294</v>
      </c>
      <c r="J35" s="5">
        <v>45416</v>
      </c>
      <c r="K35" s="20"/>
      <c r="L35" s="21" t="s">
        <v>6</v>
      </c>
      <c r="M35" s="69">
        <v>1.0741406071474298</v>
      </c>
      <c r="N35" s="68">
        <v>0.99534744143358322</v>
      </c>
      <c r="O35" s="5">
        <v>45416</v>
      </c>
      <c r="P35" s="20"/>
      <c r="Q35" s="21" t="s">
        <v>6</v>
      </c>
      <c r="R35" s="69">
        <v>1.1757059504160843</v>
      </c>
      <c r="S35" s="68">
        <v>1.0405662844585484</v>
      </c>
      <c r="T35" s="5">
        <v>45416</v>
      </c>
      <c r="W35" s="68">
        <v>1.0835885510929788</v>
      </c>
      <c r="X35" s="68">
        <v>0.91641144890702131</v>
      </c>
      <c r="Y35" s="5">
        <v>45416</v>
      </c>
    </row>
    <row r="36" spans="1:25" x14ac:dyDescent="0.25">
      <c r="A36" s="21"/>
      <c r="B36" s="22" t="s">
        <v>7</v>
      </c>
      <c r="C36" s="18">
        <f>AVERAGE(C33:D35)</f>
        <v>66.23357816357732</v>
      </c>
      <c r="D36" s="20"/>
      <c r="E36" s="20"/>
      <c r="F36" s="20"/>
      <c r="G36" s="22" t="s">
        <v>7</v>
      </c>
      <c r="H36" s="18">
        <f>AVERAGE(H33:I35)</f>
        <v>0.98234826653165275</v>
      </c>
      <c r="I36" s="20"/>
      <c r="J36" s="20"/>
      <c r="K36" s="20"/>
      <c r="L36" s="22" t="s">
        <v>7</v>
      </c>
      <c r="M36" s="18">
        <f>AVERAGE(M33:N35)</f>
        <v>1.0966567178905235</v>
      </c>
      <c r="N36" s="20"/>
      <c r="O36" s="20"/>
      <c r="P36" s="20"/>
      <c r="Q36" s="22" t="s">
        <v>7</v>
      </c>
      <c r="R36" s="18">
        <f>AVERAGE(R33:S35)</f>
        <v>1.1504638679934891</v>
      </c>
      <c r="S36" s="20"/>
      <c r="W36" s="68"/>
      <c r="X36" s="68"/>
    </row>
    <row r="37" spans="1:25" x14ac:dyDescent="0.25">
      <c r="A37" s="21"/>
      <c r="B37" s="21" t="s">
        <v>8</v>
      </c>
      <c r="C37" s="18">
        <f>STDEV(C33:D35)</f>
        <v>12.029486100975847</v>
      </c>
      <c r="D37" s="20"/>
      <c r="E37" s="20"/>
      <c r="F37" s="20"/>
      <c r="G37" s="21" t="s">
        <v>8</v>
      </c>
      <c r="H37" s="18">
        <f>STDEV(H33:I35)</f>
        <v>7.4053094778360556E-2</v>
      </c>
      <c r="I37" s="20"/>
      <c r="J37" s="20"/>
      <c r="K37" s="20"/>
      <c r="L37" s="21" t="s">
        <v>8</v>
      </c>
      <c r="M37" s="18">
        <f>STDEV(M33:N35)</f>
        <v>7.3683343922368083E-2</v>
      </c>
      <c r="N37" s="20"/>
      <c r="O37" s="20"/>
      <c r="P37" s="20"/>
      <c r="Q37" s="21" t="s">
        <v>8</v>
      </c>
      <c r="R37" s="18">
        <f>STDEV(R33:S35)</f>
        <v>0.10303698360270051</v>
      </c>
      <c r="S37" s="20"/>
      <c r="W37" s="68"/>
      <c r="X37" s="68"/>
    </row>
    <row r="38" spans="1:25" x14ac:dyDescent="0.25">
      <c r="A38" s="21"/>
      <c r="B38" s="21"/>
      <c r="C38" s="21"/>
      <c r="D38" s="20"/>
      <c r="E38" s="20"/>
      <c r="F38" s="20"/>
      <c r="G38" s="21"/>
      <c r="H38" s="21"/>
      <c r="I38" s="20"/>
      <c r="J38" s="20"/>
      <c r="K38" s="20"/>
      <c r="L38" s="21"/>
      <c r="M38" s="21"/>
      <c r="N38" s="20"/>
      <c r="O38" s="20"/>
      <c r="P38" s="20"/>
      <c r="Q38" s="21"/>
      <c r="R38" s="21"/>
      <c r="S38" s="20"/>
      <c r="W38" s="68"/>
      <c r="X38" s="68"/>
    </row>
    <row r="39" spans="1:25" x14ac:dyDescent="0.25">
      <c r="A39" s="22" t="s">
        <v>9</v>
      </c>
      <c r="B39" s="24"/>
      <c r="C39" s="24" t="s">
        <v>10</v>
      </c>
      <c r="D39" s="24" t="s">
        <v>11</v>
      </c>
      <c r="E39" s="24"/>
      <c r="F39" s="24"/>
      <c r="G39" s="24"/>
      <c r="H39" s="24" t="s">
        <v>10</v>
      </c>
      <c r="I39" s="24" t="s">
        <v>11</v>
      </c>
      <c r="J39" s="24"/>
      <c r="K39" s="24"/>
      <c r="L39" s="24"/>
      <c r="M39" s="24" t="s">
        <v>10</v>
      </c>
      <c r="N39" s="24" t="s">
        <v>11</v>
      </c>
      <c r="O39" s="24"/>
      <c r="P39" s="24"/>
      <c r="Q39" s="24"/>
      <c r="R39" s="24" t="s">
        <v>10</v>
      </c>
      <c r="S39" s="24" t="s">
        <v>11</v>
      </c>
      <c r="W39" s="68"/>
      <c r="X39" s="68"/>
    </row>
    <row r="40" spans="1:25" x14ac:dyDescent="0.25">
      <c r="A40" s="72" t="s">
        <v>13</v>
      </c>
      <c r="B40" s="21" t="s">
        <v>4</v>
      </c>
      <c r="C40" s="20">
        <v>74.181735064302828</v>
      </c>
      <c r="D40" s="20">
        <v>82.71664368738702</v>
      </c>
      <c r="E40" s="19">
        <v>45597</v>
      </c>
      <c r="F40" s="20"/>
      <c r="G40" s="21" t="s">
        <v>4</v>
      </c>
      <c r="H40" s="68">
        <v>0.9813361525680443</v>
      </c>
      <c r="I40" s="68">
        <v>1.0732769159889397</v>
      </c>
      <c r="J40" s="25" t="s">
        <v>33</v>
      </c>
      <c r="K40" s="20"/>
      <c r="L40" s="21" t="s">
        <v>4</v>
      </c>
      <c r="M40" s="68">
        <v>1.0521807391663565</v>
      </c>
      <c r="N40" s="68">
        <v>1.0714452051499932</v>
      </c>
      <c r="O40" s="25" t="s">
        <v>33</v>
      </c>
      <c r="P40" s="20"/>
      <c r="Q40" s="21" t="s">
        <v>4</v>
      </c>
      <c r="R40" s="68">
        <v>0.93787497579160373</v>
      </c>
      <c r="S40" s="68">
        <v>1.0003129643644448</v>
      </c>
      <c r="T40" s="25" t="s">
        <v>33</v>
      </c>
      <c r="W40" s="68">
        <v>1.0259985456292156</v>
      </c>
      <c r="X40" s="68">
        <v>0.97400145437078445</v>
      </c>
      <c r="Y40" s="39" t="s">
        <v>33</v>
      </c>
    </row>
    <row r="41" spans="1:25" x14ac:dyDescent="0.25">
      <c r="A41" s="72"/>
      <c r="B41" s="21" t="s">
        <v>5</v>
      </c>
      <c r="C41" s="20">
        <v>40.58757434503179</v>
      </c>
      <c r="D41" s="20">
        <v>41.769803682832929</v>
      </c>
      <c r="E41" s="27" t="s">
        <v>30</v>
      </c>
      <c r="F41" s="20"/>
      <c r="G41" s="21" t="s">
        <v>5</v>
      </c>
      <c r="H41" s="68">
        <v>1.1049945211450722</v>
      </c>
      <c r="I41" s="68">
        <v>1.3302984023171305</v>
      </c>
      <c r="J41" s="5">
        <v>45386</v>
      </c>
      <c r="K41" s="20"/>
      <c r="L41" s="21" t="s">
        <v>5</v>
      </c>
      <c r="M41" s="68">
        <v>1.1206786458145013</v>
      </c>
      <c r="N41" s="68">
        <v>1.1343482318038511</v>
      </c>
      <c r="O41" s="5">
        <v>45386</v>
      </c>
      <c r="P41" s="20"/>
      <c r="Q41" s="21" t="s">
        <v>5</v>
      </c>
      <c r="R41" s="68">
        <v>1.0964271424260381</v>
      </c>
      <c r="S41" s="68">
        <v>1.2399223115646367</v>
      </c>
      <c r="T41" s="5">
        <v>45386</v>
      </c>
      <c r="W41" s="68">
        <v>0.99474090234170875</v>
      </c>
      <c r="X41" s="68">
        <v>1.0052590976582914</v>
      </c>
      <c r="Y41" s="5">
        <v>45386</v>
      </c>
    </row>
    <row r="42" spans="1:25" x14ac:dyDescent="0.25">
      <c r="A42" s="72"/>
      <c r="B42" s="21" t="s">
        <v>6</v>
      </c>
      <c r="C42" s="21">
        <v>86.937433286247014</v>
      </c>
      <c r="D42" s="20">
        <v>90.16814697401739</v>
      </c>
      <c r="E42" s="27" t="s">
        <v>30</v>
      </c>
      <c r="F42" s="20"/>
      <c r="G42" s="21" t="s">
        <v>6</v>
      </c>
      <c r="H42" s="69">
        <v>1.0914372094989526</v>
      </c>
      <c r="I42" s="68">
        <v>1.2152690187690069</v>
      </c>
      <c r="J42" s="5">
        <v>45416</v>
      </c>
      <c r="K42" s="20"/>
      <c r="L42" s="21" t="s">
        <v>6</v>
      </c>
      <c r="M42" s="69">
        <v>1.113754701405824</v>
      </c>
      <c r="N42" s="68">
        <v>1.0732570515846651</v>
      </c>
      <c r="O42" s="5">
        <v>45416</v>
      </c>
      <c r="P42" s="20"/>
      <c r="Q42" s="21" t="s">
        <v>6</v>
      </c>
      <c r="R42" s="69">
        <v>1.2271616303517996</v>
      </c>
      <c r="S42" s="68">
        <v>1.2944067932087324</v>
      </c>
      <c r="T42" s="5">
        <v>45416</v>
      </c>
      <c r="W42" s="68">
        <v>0.96240695669598686</v>
      </c>
      <c r="X42" s="68">
        <v>1.037593043304013</v>
      </c>
      <c r="Y42" s="5">
        <v>45416</v>
      </c>
    </row>
    <row r="43" spans="1:25" x14ac:dyDescent="0.25">
      <c r="A43" s="21"/>
      <c r="B43" s="22" t="s">
        <v>7</v>
      </c>
      <c r="C43" s="18">
        <f>AVERAGE(C40:D42)</f>
        <v>69.393556173303168</v>
      </c>
      <c r="D43" s="20"/>
      <c r="E43" s="20"/>
      <c r="F43" s="20"/>
      <c r="G43" s="22" t="s">
        <v>7</v>
      </c>
      <c r="H43" s="18">
        <f>AVERAGE(H40:I42)</f>
        <v>1.1327687033811911</v>
      </c>
      <c r="I43" s="20"/>
      <c r="J43" s="20"/>
      <c r="K43" s="20"/>
      <c r="L43" s="22" t="s">
        <v>7</v>
      </c>
      <c r="M43" s="18">
        <f>AVERAGE(M40:N42)</f>
        <v>1.0942774291541986</v>
      </c>
      <c r="N43" s="20"/>
      <c r="O43" s="20"/>
      <c r="P43" s="20"/>
      <c r="Q43" s="22" t="s">
        <v>7</v>
      </c>
      <c r="R43" s="18">
        <f>AVERAGE(R40:S42)</f>
        <v>1.1326843029512093</v>
      </c>
      <c r="S43" s="20"/>
    </row>
    <row r="44" spans="1:25" x14ac:dyDescent="0.25">
      <c r="A44" s="21"/>
      <c r="B44" s="21" t="s">
        <v>8</v>
      </c>
      <c r="C44" s="18">
        <f>STDEV(C40:D42)</f>
        <v>22.506260710463682</v>
      </c>
      <c r="D44" s="20"/>
      <c r="E44" s="20"/>
      <c r="F44" s="20"/>
      <c r="G44" s="21" t="s">
        <v>8</v>
      </c>
      <c r="H44" s="18">
        <f>STDEV(H40:I42)</f>
        <v>0.12229069612945682</v>
      </c>
      <c r="I44" s="20"/>
      <c r="J44" s="20"/>
      <c r="K44" s="20"/>
      <c r="L44" s="21" t="s">
        <v>8</v>
      </c>
      <c r="M44" s="18">
        <f>STDEV(M40:N42)</f>
        <v>3.2916122598422887E-2</v>
      </c>
      <c r="N44" s="20"/>
      <c r="O44" s="20"/>
      <c r="P44" s="20"/>
      <c r="Q44" s="21" t="s">
        <v>8</v>
      </c>
      <c r="R44" s="18">
        <f>STDEV(R40:S42)</f>
        <v>0.14378285478888245</v>
      </c>
      <c r="S44" s="20"/>
    </row>
    <row r="45" spans="1:25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 spans="1:25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</sheetData>
  <mergeCells count="6">
    <mergeCell ref="A40:A42"/>
    <mergeCell ref="A4:A6"/>
    <mergeCell ref="A11:A13"/>
    <mergeCell ref="A19:A21"/>
    <mergeCell ref="A26:A28"/>
    <mergeCell ref="A33:A3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5"/>
  <sheetViews>
    <sheetView workbookViewId="0">
      <selection activeCell="M32" sqref="M32"/>
    </sheetView>
  </sheetViews>
  <sheetFormatPr defaultRowHeight="15" x14ac:dyDescent="0.25"/>
  <cols>
    <col min="1" max="2" width="16" bestFit="1" customWidth="1"/>
  </cols>
  <sheetData>
    <row r="2" spans="1:15" x14ac:dyDescent="0.25">
      <c r="C2" s="73" t="s">
        <v>12</v>
      </c>
      <c r="D2" s="73"/>
      <c r="E2" s="73"/>
      <c r="F2" s="73"/>
      <c r="G2" s="73"/>
      <c r="H2" s="73"/>
      <c r="J2" s="73" t="s">
        <v>13</v>
      </c>
      <c r="K2" s="73"/>
      <c r="L2" s="73"/>
      <c r="M2" s="73"/>
      <c r="N2" s="73"/>
      <c r="O2" s="73"/>
    </row>
    <row r="3" spans="1:15" x14ac:dyDescent="0.25">
      <c r="A3" s="71" t="s">
        <v>3</v>
      </c>
      <c r="B3" s="64" t="s">
        <v>37</v>
      </c>
      <c r="C3" s="63">
        <v>98.459900000000005</v>
      </c>
      <c r="D3" s="63">
        <v>101.5401</v>
      </c>
      <c r="E3" s="63">
        <v>99.834760000000003</v>
      </c>
      <c r="F3" s="63">
        <v>100.1652</v>
      </c>
      <c r="G3" s="63">
        <v>98.385589999999993</v>
      </c>
      <c r="H3" s="63">
        <v>101.6144</v>
      </c>
      <c r="J3" s="63">
        <v>91.720399999999998</v>
      </c>
      <c r="K3" s="63">
        <v>108.2796</v>
      </c>
      <c r="L3" s="63">
        <v>98.816559999999996</v>
      </c>
      <c r="M3" s="63">
        <v>101.18340000000001</v>
      </c>
      <c r="N3" s="63">
        <v>97.393460000000005</v>
      </c>
      <c r="O3" s="63">
        <v>102.6065</v>
      </c>
    </row>
    <row r="4" spans="1:15" x14ac:dyDescent="0.25">
      <c r="A4" s="71"/>
      <c r="B4" s="64" t="s">
        <v>38</v>
      </c>
      <c r="C4" s="63">
        <v>27.479890000000001</v>
      </c>
      <c r="D4" s="63">
        <v>32.304510000000001</v>
      </c>
      <c r="E4" s="63">
        <v>70.950010000000006</v>
      </c>
      <c r="F4" s="63">
        <v>65.527950000000004</v>
      </c>
      <c r="G4" s="63">
        <v>39.427979999999998</v>
      </c>
      <c r="H4" s="63">
        <v>37.87162</v>
      </c>
      <c r="J4" s="63">
        <v>43.392020000000002</v>
      </c>
      <c r="K4" s="63">
        <v>40.848570000000002</v>
      </c>
      <c r="L4" s="63">
        <v>57.385489999999997</v>
      </c>
      <c r="M4" s="63">
        <v>67.617549999999994</v>
      </c>
      <c r="N4" s="63">
        <v>51.636920000000003</v>
      </c>
      <c r="O4" s="63">
        <v>53.189810000000001</v>
      </c>
    </row>
    <row r="5" spans="1:15" x14ac:dyDescent="0.25">
      <c r="A5" s="71"/>
      <c r="B5" s="64" t="s">
        <v>39</v>
      </c>
      <c r="C5" s="63">
        <v>56.626629999999999</v>
      </c>
      <c r="D5" s="63">
        <v>62.142009999999999</v>
      </c>
      <c r="E5" s="63">
        <v>90.863050000000001</v>
      </c>
      <c r="F5" s="63">
        <v>87.374309999999994</v>
      </c>
      <c r="G5" s="63">
        <v>66.578490000000002</v>
      </c>
      <c r="H5" s="63">
        <v>70.875349999999997</v>
      </c>
      <c r="J5" s="63">
        <v>83.138050000000007</v>
      </c>
      <c r="K5" s="63">
        <v>87.227850000000004</v>
      </c>
      <c r="L5" s="63">
        <v>105.4738</v>
      </c>
      <c r="M5" s="63">
        <v>108.7098</v>
      </c>
      <c r="N5" s="63">
        <v>94.948080000000004</v>
      </c>
      <c r="O5" s="63">
        <v>76.558670000000006</v>
      </c>
    </row>
    <row r="8" spans="1:15" x14ac:dyDescent="0.25">
      <c r="A8" s="71" t="s">
        <v>40</v>
      </c>
      <c r="B8" s="64" t="s">
        <v>37</v>
      </c>
      <c r="C8" s="63">
        <v>93.51294</v>
      </c>
      <c r="D8" s="63">
        <v>106.4871</v>
      </c>
      <c r="E8" s="63">
        <v>82.177859999999995</v>
      </c>
      <c r="F8" s="63">
        <v>117.82210000000001</v>
      </c>
      <c r="G8" s="63">
        <v>108.547</v>
      </c>
      <c r="H8" s="63">
        <v>91.453029999999998</v>
      </c>
      <c r="J8" s="63">
        <v>96.837609999999998</v>
      </c>
      <c r="K8" s="63">
        <v>103.16240000000001</v>
      </c>
      <c r="L8" s="63">
        <v>96.553749999999994</v>
      </c>
      <c r="M8" s="63">
        <v>103.4462</v>
      </c>
      <c r="N8" s="63">
        <v>84.64546</v>
      </c>
      <c r="O8" s="63">
        <v>115.3545</v>
      </c>
    </row>
    <row r="9" spans="1:15" x14ac:dyDescent="0.25">
      <c r="A9" s="71"/>
      <c r="B9" s="64" t="s">
        <v>38</v>
      </c>
      <c r="C9" s="63">
        <v>44.855620000000002</v>
      </c>
      <c r="D9" s="63">
        <v>54.594880000000003</v>
      </c>
      <c r="E9" s="63">
        <v>33.674079999999996</v>
      </c>
      <c r="F9" s="63">
        <v>31.6919</v>
      </c>
      <c r="G9" s="63">
        <v>59.760599999999997</v>
      </c>
      <c r="H9" s="63">
        <v>51.963569999999997</v>
      </c>
      <c r="J9" s="63">
        <v>30.421769999999999</v>
      </c>
      <c r="K9" s="63">
        <v>34.969949999999997</v>
      </c>
      <c r="L9" s="63">
        <v>49.432740000000003</v>
      </c>
      <c r="M9" s="63">
        <v>49.085479999999997</v>
      </c>
      <c r="N9" s="63">
        <v>56.037190000000002</v>
      </c>
      <c r="O9" s="63">
        <v>57.773690000000002</v>
      </c>
    </row>
    <row r="10" spans="1:15" x14ac:dyDescent="0.25">
      <c r="A10" s="71"/>
      <c r="B10" s="64" t="s">
        <v>39</v>
      </c>
      <c r="C10" s="63">
        <v>67.538139999999999</v>
      </c>
      <c r="D10" s="63">
        <v>64.176950000000005</v>
      </c>
      <c r="E10" s="63">
        <v>61.952849999999998</v>
      </c>
      <c r="F10" s="63">
        <v>66.395499999999998</v>
      </c>
      <c r="G10" s="63">
        <v>97.060860000000005</v>
      </c>
      <c r="H10" s="63">
        <v>68.254750000000001</v>
      </c>
      <c r="J10" s="63">
        <v>75.68186</v>
      </c>
      <c r="K10" s="63">
        <v>80.090999999999994</v>
      </c>
      <c r="L10" s="63">
        <v>97.750290000000007</v>
      </c>
      <c r="M10" s="63">
        <v>83.016750000000002</v>
      </c>
      <c r="N10" s="63">
        <v>90.520719999999997</v>
      </c>
      <c r="O10" s="63">
        <v>95.969629999999995</v>
      </c>
    </row>
    <row r="13" spans="1:15" x14ac:dyDescent="0.25">
      <c r="A13" s="71" t="s">
        <v>9</v>
      </c>
      <c r="B13" s="64" t="s">
        <v>37</v>
      </c>
      <c r="C13" s="63">
        <v>102.8583</v>
      </c>
      <c r="D13" s="63">
        <v>97.141720000000007</v>
      </c>
      <c r="E13" s="63">
        <v>89.846130000000002</v>
      </c>
      <c r="F13" s="63">
        <v>110.15389999999999</v>
      </c>
      <c r="G13" s="63">
        <v>102.88339999999999</v>
      </c>
      <c r="H13" s="63">
        <v>97.116590000000002</v>
      </c>
      <c r="J13" s="63">
        <v>104.833</v>
      </c>
      <c r="K13" s="63">
        <v>95.167019999999994</v>
      </c>
      <c r="L13" s="63">
        <v>87.698620000000005</v>
      </c>
      <c r="M13" s="63">
        <v>112.3014</v>
      </c>
      <c r="N13" s="63">
        <v>92.628290000000007</v>
      </c>
      <c r="O13" s="63">
        <v>107.3717</v>
      </c>
    </row>
    <row r="14" spans="1:15" x14ac:dyDescent="0.25">
      <c r="A14" s="71"/>
      <c r="B14" s="64" t="s">
        <v>38</v>
      </c>
      <c r="C14" s="63">
        <v>85.758449999999996</v>
      </c>
      <c r="D14" s="63">
        <v>70.140600000000006</v>
      </c>
      <c r="E14" s="63">
        <v>72.839110000000005</v>
      </c>
      <c r="F14" s="63">
        <v>88.339060000000003</v>
      </c>
      <c r="G14" s="63">
        <v>64.531989999999993</v>
      </c>
      <c r="H14" s="63">
        <v>73.862650000000002</v>
      </c>
      <c r="J14" s="63">
        <v>60.266460000000002</v>
      </c>
      <c r="K14" s="63">
        <v>68.729339999999993</v>
      </c>
      <c r="L14" s="63">
        <v>93.516819999999996</v>
      </c>
      <c r="M14" s="63">
        <v>115.20269999999999</v>
      </c>
      <c r="N14" s="63">
        <v>64.438010000000006</v>
      </c>
      <c r="O14" s="63">
        <v>80.95975</v>
      </c>
    </row>
    <row r="15" spans="1:15" x14ac:dyDescent="0.25">
      <c r="A15" s="71"/>
      <c r="B15" s="64" t="s">
        <v>39</v>
      </c>
      <c r="C15" s="63">
        <v>76.380629999999996</v>
      </c>
      <c r="D15" s="63">
        <v>52.331330000000001</v>
      </c>
      <c r="E15" s="63">
        <v>72.0809</v>
      </c>
      <c r="F15" s="63">
        <v>67.594560000000001</v>
      </c>
      <c r="G15" s="63">
        <v>75.096220000000002</v>
      </c>
      <c r="H15" s="63">
        <v>74.085310000000007</v>
      </c>
      <c r="J15" s="63">
        <v>76.933779999999999</v>
      </c>
      <c r="K15" s="63">
        <v>81.850449999999995</v>
      </c>
      <c r="L15" s="63">
        <v>92.634559999999993</v>
      </c>
      <c r="M15" s="63">
        <v>111.56789999999999</v>
      </c>
      <c r="N15" s="63">
        <v>70.801749999999998</v>
      </c>
      <c r="O15" s="63">
        <v>108.2795</v>
      </c>
    </row>
  </sheetData>
  <mergeCells count="5">
    <mergeCell ref="J2:O2"/>
    <mergeCell ref="C2:H2"/>
    <mergeCell ref="A3:A5"/>
    <mergeCell ref="A8:A10"/>
    <mergeCell ref="A13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1598018C-8F6A-4CD9-B24B-043B88BB1647}">
  <ds:schemaRefs/>
</ds:datastoreItem>
</file>

<file path=customXml/itemProps2.xml><?xml version="1.0" encoding="utf-8"?>
<ds:datastoreItem xmlns:ds="http://schemas.openxmlformats.org/officeDocument/2006/customXml" ds:itemID="{DE586783-2700-4C39-BFBA-F026E6AE26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Amiodarone</vt:lpstr>
      <vt:lpstr>BSP</vt:lpstr>
      <vt:lpstr>Cef</vt:lpstr>
      <vt:lpstr>CP</vt:lpstr>
      <vt:lpstr>IOP</vt:lpstr>
      <vt:lpstr>MBP</vt:lpstr>
      <vt:lpstr>NH3</vt:lpstr>
      <vt:lpstr>PBDE-99</vt:lpstr>
      <vt:lpstr>TBBPA</vt:lpstr>
      <vt:lpstr>Xn</vt:lpstr>
      <vt:lpstr>Sily + lesi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N.T.O.M. Dierichs</dc:creator>
  <cp:lastModifiedBy>N.T.O.M. Dierichs</cp:lastModifiedBy>
  <dcterms:created xsi:type="dcterms:W3CDTF">2024-02-28T12:55:13Z</dcterms:created>
  <dcterms:modified xsi:type="dcterms:W3CDTF">2024-08-09T12:48:25Z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erasmusmc</vt:lpwstr>
  </property>
  <property fmtid="{D5CDD505-2E9C-101B-9397-08002B2CF9AE}" pid="3" name="TemplafyTemplateId">
    <vt:lpwstr>638049558581124840</vt:lpwstr>
  </property>
  <property fmtid="{D5CDD505-2E9C-101B-9397-08002B2CF9AE}" pid="4" name="TemplafyUserProfileId">
    <vt:lpwstr>637943292935123484</vt:lpwstr>
  </property>
  <property fmtid="{D5CDD505-2E9C-101B-9397-08002B2CF9AE}" pid="5" name="TemplafyFromBlank">
    <vt:bool>true</vt:bool>
  </property>
</Properties>
</file>