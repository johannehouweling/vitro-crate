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ws640\surfdrive\Athena Data\RA\OATP1C1\Rotterdam data\220825_RA_CHO-K1_hOATP1C1\"/>
    </mc:Choice>
  </mc:AlternateContent>
  <xr:revisionPtr revIDLastSave="0" documentId="13_ncr:1_{ACFF0DAB-BA02-4FBC-85D7-5BC0373ED5CC}" xr6:coauthVersionLast="47" xr6:coauthVersionMax="47" xr10:uidLastSave="{00000000-0000-0000-0000-000000000000}"/>
  <bookViews>
    <workbookView xWindow="-120" yWindow="-120" windowWidth="29040" windowHeight="17640" activeTab="1" xr2:uid="{C556B073-A26E-463D-8743-4593EBE55597}"/>
  </bookViews>
  <sheets>
    <sheet name="003717" sheetId="2" r:id="rId1"/>
    <sheet name="Sheet1" sheetId="1" r:id="rId2"/>
  </sheets>
  <definedNames>
    <definedName name="ExternalData_1" localSheetId="0" hidden="1">'003717'!$A$1:$N$61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1" l="1"/>
  <c r="J26" i="1"/>
  <c r="I26" i="1"/>
  <c r="F26" i="1"/>
  <c r="E26" i="1"/>
  <c r="K25" i="1"/>
  <c r="J25" i="1"/>
  <c r="I25" i="1"/>
  <c r="F25" i="1"/>
  <c r="E25" i="1"/>
  <c r="K24" i="1"/>
  <c r="J24" i="1"/>
  <c r="I24" i="1"/>
  <c r="F24" i="1"/>
  <c r="E24" i="1"/>
  <c r="K23" i="1"/>
  <c r="J23" i="1"/>
  <c r="I23" i="1"/>
  <c r="F23" i="1"/>
  <c r="E23" i="1"/>
  <c r="K22" i="1"/>
  <c r="J22" i="1"/>
  <c r="I22" i="1"/>
  <c r="F22" i="1"/>
  <c r="E22" i="1"/>
  <c r="K21" i="1"/>
  <c r="J21" i="1"/>
  <c r="I21" i="1"/>
  <c r="F21" i="1"/>
  <c r="E21" i="1"/>
  <c r="K20" i="1"/>
  <c r="J20" i="1"/>
  <c r="I20" i="1"/>
  <c r="F20" i="1"/>
  <c r="E20" i="1"/>
  <c r="K19" i="1"/>
  <c r="J19" i="1"/>
  <c r="I19" i="1"/>
  <c r="F19" i="1"/>
  <c r="E19" i="1"/>
  <c r="K18" i="1"/>
  <c r="J18" i="1"/>
  <c r="I18" i="1"/>
  <c r="F18" i="1"/>
  <c r="E18" i="1"/>
  <c r="K17" i="1"/>
  <c r="J17" i="1"/>
  <c r="I17" i="1"/>
  <c r="F17" i="1"/>
  <c r="E17" i="1"/>
  <c r="Q26" i="1" s="1"/>
  <c r="K13" i="1"/>
  <c r="J13" i="1"/>
  <c r="I13" i="1"/>
  <c r="F13" i="1"/>
  <c r="E13" i="1"/>
  <c r="K12" i="1"/>
  <c r="J12" i="1"/>
  <c r="I12" i="1"/>
  <c r="F12" i="1"/>
  <c r="E12" i="1"/>
  <c r="K11" i="1"/>
  <c r="J11" i="1"/>
  <c r="I11" i="1"/>
  <c r="F11" i="1"/>
  <c r="E11" i="1"/>
  <c r="K10" i="1"/>
  <c r="J10" i="1"/>
  <c r="I10" i="1"/>
  <c r="F10" i="1"/>
  <c r="E10" i="1"/>
  <c r="K9" i="1"/>
  <c r="J9" i="1"/>
  <c r="I9" i="1"/>
  <c r="F9" i="1"/>
  <c r="E9" i="1"/>
  <c r="K8" i="1"/>
  <c r="J8" i="1"/>
  <c r="I8" i="1"/>
  <c r="F8" i="1"/>
  <c r="E8" i="1"/>
  <c r="K7" i="1"/>
  <c r="J7" i="1"/>
  <c r="I7" i="1"/>
  <c r="F7" i="1"/>
  <c r="E7" i="1"/>
  <c r="K6" i="1"/>
  <c r="J6" i="1"/>
  <c r="I6" i="1"/>
  <c r="F6" i="1"/>
  <c r="E6" i="1"/>
  <c r="K5" i="1"/>
  <c r="J5" i="1"/>
  <c r="I5" i="1"/>
  <c r="F5" i="1"/>
  <c r="E5" i="1"/>
  <c r="K4" i="1"/>
  <c r="J4" i="1"/>
  <c r="I4" i="1"/>
  <c r="M4" i="1" s="1"/>
  <c r="F4" i="1"/>
  <c r="E4" i="1"/>
  <c r="P12" i="1" s="1"/>
  <c r="M23" i="1" l="1"/>
  <c r="M10" i="1"/>
  <c r="M25" i="1"/>
  <c r="M5" i="1"/>
  <c r="M22" i="1"/>
  <c r="L10" i="1"/>
  <c r="M6" i="1"/>
  <c r="M12" i="1"/>
  <c r="M21" i="1"/>
  <c r="M20" i="1"/>
  <c r="M18" i="1"/>
  <c r="L21" i="1"/>
  <c r="L23" i="1"/>
  <c r="M26" i="1"/>
  <c r="M17" i="1"/>
  <c r="Q18" i="1"/>
  <c r="M24" i="1"/>
  <c r="Q19" i="1"/>
  <c r="R17" i="1"/>
  <c r="M19" i="1"/>
  <c r="P22" i="1"/>
  <c r="R20" i="1"/>
  <c r="Q21" i="1"/>
  <c r="P19" i="1"/>
  <c r="L24" i="1"/>
  <c r="P17" i="1"/>
  <c r="R18" i="1"/>
  <c r="L11" i="1"/>
  <c r="M13" i="1"/>
  <c r="L8" i="1"/>
  <c r="M11" i="1"/>
  <c r="M7" i="1"/>
  <c r="M9" i="1"/>
  <c r="L5" i="1"/>
  <c r="P5" i="1"/>
  <c r="M8" i="1"/>
  <c r="R7" i="1"/>
  <c r="R9" i="1"/>
  <c r="Q12" i="1"/>
  <c r="L13" i="1"/>
  <c r="P20" i="1"/>
  <c r="L22" i="1"/>
  <c r="R26" i="1"/>
  <c r="Q4" i="1"/>
  <c r="P7" i="1"/>
  <c r="R4" i="1"/>
  <c r="Q7" i="1"/>
  <c r="P10" i="1"/>
  <c r="R12" i="1"/>
  <c r="R19" i="1"/>
  <c r="Q20" i="1"/>
  <c r="P21" i="1"/>
  <c r="Q5" i="1"/>
  <c r="AE5" i="1" s="1"/>
  <c r="L6" i="1"/>
  <c r="P8" i="1"/>
  <c r="R10" i="1"/>
  <c r="Q13" i="1"/>
  <c r="AE13" i="1" s="1"/>
  <c r="L17" i="1"/>
  <c r="Y25" i="1" s="1"/>
  <c r="R21" i="1"/>
  <c r="Q22" i="1"/>
  <c r="P23" i="1"/>
  <c r="L25" i="1"/>
  <c r="P13" i="1"/>
  <c r="R5" i="1"/>
  <c r="Q8" i="1"/>
  <c r="AE8" i="1" s="1"/>
  <c r="L9" i="1"/>
  <c r="P11" i="1"/>
  <c r="R13" i="1"/>
  <c r="L18" i="1"/>
  <c r="R22" i="1"/>
  <c r="Q23" i="1"/>
  <c r="P24" i="1"/>
  <c r="L26" i="1"/>
  <c r="L4" i="1"/>
  <c r="Y6" i="1" s="1"/>
  <c r="P6" i="1"/>
  <c r="R8" i="1"/>
  <c r="Q11" i="1"/>
  <c r="L12" i="1"/>
  <c r="L19" i="1"/>
  <c r="R23" i="1"/>
  <c r="Q24" i="1"/>
  <c r="P25" i="1"/>
  <c r="Q10" i="1"/>
  <c r="AE10" i="1" s="1"/>
  <c r="Q6" i="1"/>
  <c r="L7" i="1"/>
  <c r="P9" i="1"/>
  <c r="R11" i="1"/>
  <c r="Q17" i="1"/>
  <c r="P18" i="1"/>
  <c r="L20" i="1"/>
  <c r="R24" i="1"/>
  <c r="Q25" i="1"/>
  <c r="P26" i="1"/>
  <c r="P4" i="1"/>
  <c r="R6" i="1"/>
  <c r="Q9" i="1"/>
  <c r="R25" i="1"/>
  <c r="S17" i="1" l="1"/>
  <c r="AF5" i="1"/>
  <c r="AF9" i="1"/>
  <c r="AF4" i="1"/>
  <c r="AE6" i="1"/>
  <c r="AF8" i="1"/>
  <c r="AF13" i="1"/>
  <c r="T22" i="1"/>
  <c r="AE4" i="1"/>
  <c r="AF6" i="1"/>
  <c r="AE11" i="1"/>
  <c r="W19" i="1"/>
  <c r="AF7" i="1"/>
  <c r="W7" i="1"/>
  <c r="T12" i="1"/>
  <c r="Y4" i="1"/>
  <c r="Y13" i="1"/>
  <c r="AD5" i="1"/>
  <c r="AG5" i="1" s="1"/>
  <c r="W24" i="1"/>
  <c r="W10" i="1"/>
  <c r="X18" i="1"/>
  <c r="Y5" i="1"/>
  <c r="T25" i="1"/>
  <c r="S25" i="1"/>
  <c r="T21" i="1"/>
  <c r="S21" i="1"/>
  <c r="T7" i="1"/>
  <c r="AD7" i="1"/>
  <c r="S7" i="1"/>
  <c r="Y26" i="1"/>
  <c r="X7" i="1"/>
  <c r="Y12" i="1"/>
  <c r="AM12" i="1" s="1"/>
  <c r="Y22" i="1"/>
  <c r="AE9" i="1"/>
  <c r="AD6" i="1"/>
  <c r="T6" i="1"/>
  <c r="S6" i="1"/>
  <c r="W4" i="1"/>
  <c r="S19" i="1"/>
  <c r="T19" i="1"/>
  <c r="W21" i="1"/>
  <c r="X4" i="1"/>
  <c r="X9" i="1"/>
  <c r="W22" i="1"/>
  <c r="X21" i="1"/>
  <c r="Y20" i="1"/>
  <c r="X24" i="1"/>
  <c r="Y23" i="1"/>
  <c r="W17" i="1"/>
  <c r="W25" i="1"/>
  <c r="Y24" i="1"/>
  <c r="W18" i="1"/>
  <c r="X17" i="1"/>
  <c r="W23" i="1"/>
  <c r="X22" i="1"/>
  <c r="Y21" i="1"/>
  <c r="X26" i="1"/>
  <c r="AF11" i="1"/>
  <c r="S22" i="1"/>
  <c r="S5" i="1"/>
  <c r="T13" i="1"/>
  <c r="S13" i="1"/>
  <c r="AD13" i="1"/>
  <c r="AF10" i="1"/>
  <c r="AF12" i="1"/>
  <c r="T17" i="1"/>
  <c r="X19" i="1"/>
  <c r="X25" i="1"/>
  <c r="T9" i="1"/>
  <c r="S9" i="1"/>
  <c r="AD9" i="1"/>
  <c r="W13" i="1"/>
  <c r="X10" i="1"/>
  <c r="Y7" i="1"/>
  <c r="W5" i="1"/>
  <c r="W6" i="1"/>
  <c r="Y8" i="1"/>
  <c r="Y11" i="1"/>
  <c r="W9" i="1"/>
  <c r="X6" i="1"/>
  <c r="AL6" i="1" s="1"/>
  <c r="X11" i="1"/>
  <c r="W8" i="1"/>
  <c r="X5" i="1"/>
  <c r="X13" i="1"/>
  <c r="Y10" i="1"/>
  <c r="W12" i="1"/>
  <c r="W26" i="1"/>
  <c r="T8" i="1"/>
  <c r="S8" i="1"/>
  <c r="AD8" i="1"/>
  <c r="W11" i="1"/>
  <c r="T20" i="1"/>
  <c r="S20" i="1"/>
  <c r="X23" i="1"/>
  <c r="X12" i="1"/>
  <c r="AL12" i="1" s="1"/>
  <c r="AD12" i="1"/>
  <c r="T5" i="1"/>
  <c r="W20" i="1"/>
  <c r="T26" i="1"/>
  <c r="S26" i="1"/>
  <c r="S11" i="1"/>
  <c r="AD11" i="1"/>
  <c r="T11" i="1"/>
  <c r="T10" i="1"/>
  <c r="S10" i="1"/>
  <c r="AD10" i="1"/>
  <c r="Y17" i="1"/>
  <c r="AM4" i="1" s="1"/>
  <c r="X8" i="1"/>
  <c r="X20" i="1"/>
  <c r="T18" i="1"/>
  <c r="S18" i="1"/>
  <c r="S4" i="1"/>
  <c r="T4" i="1"/>
  <c r="AD4" i="1"/>
  <c r="S24" i="1"/>
  <c r="T24" i="1"/>
  <c r="T23" i="1"/>
  <c r="S23" i="1"/>
  <c r="AE7" i="1"/>
  <c r="AE12" i="1"/>
  <c r="Y18" i="1"/>
  <c r="Y19" i="1"/>
  <c r="AM6" i="1" s="1"/>
  <c r="Y9" i="1"/>
  <c r="S12" i="1"/>
  <c r="AM11" i="1" l="1"/>
  <c r="AM9" i="1"/>
  <c r="AL7" i="1"/>
  <c r="AM5" i="1"/>
  <c r="AK7" i="1"/>
  <c r="Z19" i="1"/>
  <c r="AL9" i="1"/>
  <c r="AL4" i="1"/>
  <c r="AL10" i="1"/>
  <c r="AA19" i="1"/>
  <c r="AL11" i="1"/>
  <c r="AH5" i="1"/>
  <c r="AM13" i="1"/>
  <c r="Z13" i="1"/>
  <c r="AA13" i="1"/>
  <c r="AK13" i="1"/>
  <c r="AA26" i="1"/>
  <c r="Z26" i="1"/>
  <c r="AG13" i="1"/>
  <c r="AH13" i="1"/>
  <c r="AH11" i="1"/>
  <c r="AG11" i="1"/>
  <c r="Z12" i="1"/>
  <c r="AK12" i="1"/>
  <c r="AA12" i="1"/>
  <c r="AA23" i="1"/>
  <c r="Z23" i="1"/>
  <c r="AA21" i="1"/>
  <c r="Z21" i="1"/>
  <c r="AH7" i="1"/>
  <c r="AG7" i="1"/>
  <c r="AA10" i="1"/>
  <c r="Z10" i="1"/>
  <c r="AK10" i="1"/>
  <c r="AA17" i="1"/>
  <c r="Z17" i="1"/>
  <c r="AH12" i="1"/>
  <c r="AG12" i="1"/>
  <c r="AG6" i="1"/>
  <c r="AH6" i="1"/>
  <c r="AA24" i="1"/>
  <c r="Z24" i="1"/>
  <c r="AA9" i="1"/>
  <c r="Z9" i="1"/>
  <c r="AK9" i="1"/>
  <c r="AM10" i="1"/>
  <c r="AL8" i="1"/>
  <c r="AL13" i="1"/>
  <c r="AA18" i="1"/>
  <c r="Z18" i="1"/>
  <c r="Z22" i="1"/>
  <c r="AA22" i="1"/>
  <c r="AH9" i="1"/>
  <c r="AG9" i="1"/>
  <c r="AM8" i="1"/>
  <c r="AA6" i="1"/>
  <c r="Z6" i="1"/>
  <c r="AK6" i="1"/>
  <c r="AH4" i="1"/>
  <c r="AG4" i="1"/>
  <c r="AA11" i="1"/>
  <c r="Z11" i="1"/>
  <c r="AK11" i="1"/>
  <c r="Z5" i="1"/>
  <c r="AA5" i="1"/>
  <c r="AK5" i="1"/>
  <c r="Z7" i="1"/>
  <c r="AL5" i="1"/>
  <c r="Z4" i="1"/>
  <c r="AK4" i="1"/>
  <c r="AA4" i="1"/>
  <c r="AH10" i="1"/>
  <c r="AG10" i="1"/>
  <c r="AA20" i="1"/>
  <c r="Z20" i="1"/>
  <c r="AH8" i="1"/>
  <c r="AG8" i="1"/>
  <c r="AA8" i="1"/>
  <c r="Z8" i="1"/>
  <c r="AK8" i="1"/>
  <c r="AM7" i="1"/>
  <c r="AN7" i="1" s="1"/>
  <c r="AA25" i="1"/>
  <c r="Z25" i="1"/>
  <c r="AA7" i="1"/>
  <c r="AO7" i="1" l="1"/>
  <c r="AO5" i="1"/>
  <c r="AN5" i="1"/>
  <c r="AO8" i="1"/>
  <c r="AN8" i="1"/>
  <c r="AO10" i="1"/>
  <c r="AN10" i="1"/>
  <c r="AO11" i="1"/>
  <c r="AN11" i="1"/>
  <c r="AO12" i="1"/>
  <c r="AN12" i="1"/>
  <c r="AO13" i="1"/>
  <c r="AN13" i="1"/>
  <c r="AN6" i="1"/>
  <c r="AO6" i="1"/>
  <c r="AO4" i="1"/>
  <c r="AN4" i="1"/>
  <c r="AO9" i="1"/>
  <c r="AN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255268-7A97-4D88-8D29-8AA26465DDD8}" keepAlive="1" name="Query - 003717" description="Connection to the '003717' query in the workbook." type="5" refreshedVersion="7" background="1" saveData="1">
    <dbPr connection="Provider=Microsoft.Mashup.OleDb.1;Data Source=$Workbook$;Location=003717;Extended Properties=&quot;&quot;" command="SELECT * FROM [003717]"/>
  </connection>
</connections>
</file>

<file path=xl/sharedStrings.xml><?xml version="1.0" encoding="utf-8"?>
<sst xmlns="http://schemas.openxmlformats.org/spreadsheetml/2006/main" count="243" uniqueCount="27">
  <si>
    <t>Protocol ID</t>
  </si>
  <si>
    <t>Protocol name</t>
  </si>
  <si>
    <t>Measurement date &amp; time</t>
  </si>
  <si>
    <t>Completion status</t>
  </si>
  <si>
    <t>Run ID</t>
  </si>
  <si>
    <t>Rack</t>
  </si>
  <si>
    <t>Det</t>
  </si>
  <si>
    <t>Pos</t>
  </si>
  <si>
    <t>Time</t>
  </si>
  <si>
    <t>Sample code</t>
  </si>
  <si>
    <t>I-125 Counts</t>
  </si>
  <si>
    <t>I-125 CPM</t>
  </si>
  <si>
    <t>I-125 Error %</t>
  </si>
  <si>
    <t>I-125 Info</t>
  </si>
  <si>
    <t>TELLING 1 min</t>
  </si>
  <si>
    <t/>
  </si>
  <si>
    <t>I</t>
  </si>
  <si>
    <t>CPM stock</t>
  </si>
  <si>
    <t>minus background</t>
  </si>
  <si>
    <t>minus wt</t>
  </si>
  <si>
    <t>in CPM</t>
  </si>
  <si>
    <t>in %</t>
  </si>
  <si>
    <t>hOATP1C1</t>
  </si>
  <si>
    <t>AVG</t>
  </si>
  <si>
    <t>STDEV</t>
  </si>
  <si>
    <t>40+ICG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</si>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</sst>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27" formatCode="d/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5D1113-B0A2-4BA1-B82F-6F549E290FDB}" autoFormatId="16" applyNumberFormats="0" applyBorderFormats="0" applyFontFormats="0" applyPatternFormats="0" applyAlignmentFormats="0" applyWidthHeightFormats="0">
  <queryTableRefresh nextId="15">
    <queryTableFields count="14">
      <queryTableField id="1" name="Protocol ID" tableColumnId="1"/>
      <queryTableField id="2" name="Protocol name" tableColumnId="2"/>
      <queryTableField id="3" name="Measurement date &amp; time" tableColumnId="3"/>
      <queryTableField id="4" name="Completion status" tableColumnId="4"/>
      <queryTableField id="5" name="Run ID" tableColumnId="5"/>
      <queryTableField id="6" name="Rack" tableColumnId="6"/>
      <queryTableField id="7" name="Det" tableColumnId="7"/>
      <queryTableField id="8" name="Pos" tableColumnId="8"/>
      <queryTableField id="9" name="Time" tableColumnId="9"/>
      <queryTableField id="10" name="Sample code" tableColumnId="10"/>
      <queryTableField id="11" name="I-125 Counts" tableColumnId="11"/>
      <queryTableField id="12" name="I-125 CPM" tableColumnId="12"/>
      <queryTableField id="13" name="I-125 Error %" tableColumnId="13"/>
      <queryTableField id="14" name="I-125 Inf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22B010-2A17-4115-8D98-17ABB3E8704C}" name="_003717" displayName="_003717" ref="A1:N61" tableType="queryTable" totalsRowShown="0">
  <autoFilter ref="A1:N61" xr:uid="{7D22B010-2A17-4115-8D98-17ABB3E8704C}"/>
  <tableColumns count="14">
    <tableColumn id="1" xr3:uid="{D2C4F0DC-D9D1-4286-A94E-05657B4ABFDE}" uniqueName="1" name="Protocol ID" queryTableFieldId="1"/>
    <tableColumn id="2" xr3:uid="{674C4BA7-6B97-438C-977F-0F8C99FDCBE4}" uniqueName="2" name="Protocol name" queryTableFieldId="2" dataDxfId="3"/>
    <tableColumn id="3" xr3:uid="{4B416C4E-222C-48AE-9B34-8080DE34E805}" uniqueName="3" name="Measurement date &amp; time" queryTableFieldId="3" dataDxfId="2"/>
    <tableColumn id="4" xr3:uid="{2C472A8B-EFAF-4096-B022-783ECDBD88E7}" uniqueName="4" name="Completion status" queryTableFieldId="4"/>
    <tableColumn id="5" xr3:uid="{D47621DD-DA8D-42F6-BB46-DDD185E30F03}" uniqueName="5" name="Run ID" queryTableFieldId="5"/>
    <tableColumn id="6" xr3:uid="{C726BC38-FF41-4F64-9BB5-9F35BB4DD210}" uniqueName="6" name="Rack" queryTableFieldId="6"/>
    <tableColumn id="7" xr3:uid="{6A556C6F-A5F3-4566-A324-9629F1391399}" uniqueName="7" name="Det" queryTableFieldId="7"/>
    <tableColumn id="8" xr3:uid="{1FD6C0AB-670E-4F32-893E-61F00FDD589C}" uniqueName="8" name="Pos" queryTableFieldId="8"/>
    <tableColumn id="9" xr3:uid="{D65A3ADC-9BE2-44BC-8D83-C875D7B9FE02}" uniqueName="9" name="Time" queryTableFieldId="9"/>
    <tableColumn id="10" xr3:uid="{183BFD91-447F-4FA9-A0BC-5C473652C31A}" uniqueName="10" name="Sample code" queryTableFieldId="10" dataDxfId="1"/>
    <tableColumn id="11" xr3:uid="{E9E131D9-F1AF-4E67-A6FC-1CCC94DC4521}" uniqueName="11" name="I-125 Counts" queryTableFieldId="11"/>
    <tableColumn id="12" xr3:uid="{A1258ABD-0354-4D22-B12F-849298B4C48D}" uniqueName="12" name="I-125 CPM" queryTableFieldId="12"/>
    <tableColumn id="13" xr3:uid="{41C4FF1E-1792-472D-809A-ED99016D07A1}" uniqueName="13" name="I-125 Error %" queryTableFieldId="13"/>
    <tableColumn id="14" xr3:uid="{DC357B32-09B9-4930-8FF8-DF242089DB63}" uniqueName="14" name="I-125 Info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B5390-8C28-48CA-B1D9-9C4421D59210}">
  <dimension ref="A1:N61"/>
  <sheetViews>
    <sheetView workbookViewId="0">
      <selection activeCell="L61" sqref="L2:L61"/>
    </sheetView>
  </sheetViews>
  <sheetFormatPr defaultRowHeight="15" x14ac:dyDescent="0.25"/>
  <cols>
    <col min="1" max="1" width="12.42578125" bestFit="1" customWidth="1"/>
    <col min="2" max="2" width="15.42578125" bestFit="1" customWidth="1"/>
    <col min="3" max="3" width="25.5703125" bestFit="1" customWidth="1"/>
    <col min="4" max="4" width="18.5703125" bestFit="1" customWidth="1"/>
    <col min="5" max="5" width="8.5703125" bestFit="1" customWidth="1"/>
    <col min="6" max="6" width="7" bestFit="1" customWidth="1"/>
    <col min="7" max="8" width="6.140625" bestFit="1" customWidth="1"/>
    <col min="9" max="9" width="7.140625" bestFit="1" customWidth="1"/>
    <col min="10" max="11" width="13.5703125" bestFit="1" customWidth="1"/>
    <col min="12" max="12" width="11.5703125" bestFit="1" customWidth="1"/>
    <col min="13" max="13" width="13.85546875" bestFit="1" customWidth="1"/>
    <col min="14" max="14" width="11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61</v>
      </c>
      <c r="B2" s="1" t="s">
        <v>14</v>
      </c>
      <c r="C2" s="2">
        <v>44798.640509259261</v>
      </c>
      <c r="D2">
        <v>0</v>
      </c>
      <c r="E2">
        <v>3717</v>
      </c>
      <c r="F2">
        <v>1</v>
      </c>
      <c r="G2">
        <v>1</v>
      </c>
      <c r="H2">
        <v>1</v>
      </c>
      <c r="I2">
        <v>6004</v>
      </c>
      <c r="J2" s="1" t="s">
        <v>15</v>
      </c>
      <c r="K2">
        <v>163.5</v>
      </c>
      <c r="L2">
        <v>146.69</v>
      </c>
      <c r="M2">
        <v>826</v>
      </c>
      <c r="N2" s="1" t="s">
        <v>16</v>
      </c>
    </row>
    <row r="3" spans="1:14" x14ac:dyDescent="0.25">
      <c r="A3">
        <v>61</v>
      </c>
      <c r="B3" s="1" t="s">
        <v>14</v>
      </c>
      <c r="C3" s="2">
        <v>44798.640509259261</v>
      </c>
      <c r="D3">
        <v>0</v>
      </c>
      <c r="E3">
        <v>3717</v>
      </c>
      <c r="F3">
        <v>1</v>
      </c>
      <c r="G3">
        <v>2</v>
      </c>
      <c r="H3">
        <v>2</v>
      </c>
      <c r="I3">
        <v>6004</v>
      </c>
      <c r="J3" s="1" t="s">
        <v>15</v>
      </c>
      <c r="K3">
        <v>608</v>
      </c>
      <c r="L3">
        <v>596</v>
      </c>
      <c r="M3">
        <v>41</v>
      </c>
      <c r="N3" s="1" t="s">
        <v>15</v>
      </c>
    </row>
    <row r="4" spans="1:14" x14ac:dyDescent="0.25">
      <c r="A4">
        <v>61</v>
      </c>
      <c r="B4" s="1" t="s">
        <v>14</v>
      </c>
      <c r="C4" s="2">
        <v>44798.640509259261</v>
      </c>
      <c r="D4">
        <v>0</v>
      </c>
      <c r="E4">
        <v>3717</v>
      </c>
      <c r="F4">
        <v>1</v>
      </c>
      <c r="G4">
        <v>3</v>
      </c>
      <c r="H4">
        <v>3</v>
      </c>
      <c r="I4">
        <v>6004</v>
      </c>
      <c r="J4" s="1" t="s">
        <v>15</v>
      </c>
      <c r="K4">
        <v>4309</v>
      </c>
      <c r="L4">
        <v>416.65</v>
      </c>
      <c r="M4">
        <v>491</v>
      </c>
      <c r="N4" s="1" t="s">
        <v>15</v>
      </c>
    </row>
    <row r="5" spans="1:14" x14ac:dyDescent="0.25">
      <c r="A5">
        <v>61</v>
      </c>
      <c r="B5" s="1" t="s">
        <v>14</v>
      </c>
      <c r="C5" s="2">
        <v>44798.640509259261</v>
      </c>
      <c r="D5">
        <v>0</v>
      </c>
      <c r="E5">
        <v>3717</v>
      </c>
      <c r="F5">
        <v>1</v>
      </c>
      <c r="G5">
        <v>4</v>
      </c>
      <c r="H5">
        <v>4</v>
      </c>
      <c r="I5">
        <v>6004</v>
      </c>
      <c r="J5" s="1" t="s">
        <v>15</v>
      </c>
      <c r="K5">
        <v>97492</v>
      </c>
      <c r="L5">
        <v>961.68</v>
      </c>
      <c r="M5">
        <v>323</v>
      </c>
      <c r="N5" s="1" t="s">
        <v>15</v>
      </c>
    </row>
    <row r="6" spans="1:14" x14ac:dyDescent="0.25">
      <c r="A6">
        <v>61</v>
      </c>
      <c r="B6" s="1" t="s">
        <v>14</v>
      </c>
      <c r="C6" s="2">
        <v>44798.640509259261</v>
      </c>
      <c r="D6">
        <v>0</v>
      </c>
      <c r="E6">
        <v>3717</v>
      </c>
      <c r="F6">
        <v>1</v>
      </c>
      <c r="G6">
        <v>5</v>
      </c>
      <c r="H6">
        <v>5</v>
      </c>
      <c r="I6">
        <v>6004</v>
      </c>
      <c r="J6" s="1" t="s">
        <v>15</v>
      </c>
      <c r="K6">
        <v>140335</v>
      </c>
      <c r="L6">
        <v>1368.08</v>
      </c>
      <c r="M6">
        <v>268</v>
      </c>
      <c r="N6" s="1" t="s">
        <v>15</v>
      </c>
    </row>
    <row r="7" spans="1:14" x14ac:dyDescent="0.25">
      <c r="A7">
        <v>61</v>
      </c>
      <c r="B7" s="1" t="s">
        <v>14</v>
      </c>
      <c r="C7" s="2">
        <v>44798.641400462962</v>
      </c>
      <c r="D7">
        <v>0</v>
      </c>
      <c r="E7">
        <v>3717</v>
      </c>
      <c r="F7">
        <v>1</v>
      </c>
      <c r="G7">
        <v>1</v>
      </c>
      <c r="H7">
        <v>6</v>
      </c>
      <c r="I7">
        <v>6004</v>
      </c>
      <c r="J7" s="1" t="s">
        <v>15</v>
      </c>
      <c r="K7">
        <v>162789</v>
      </c>
      <c r="L7">
        <v>1611.73</v>
      </c>
      <c r="M7">
        <v>249</v>
      </c>
      <c r="N7" s="1" t="s">
        <v>15</v>
      </c>
    </row>
    <row r="8" spans="1:14" x14ac:dyDescent="0.25">
      <c r="A8">
        <v>61</v>
      </c>
      <c r="B8" s="1" t="s">
        <v>14</v>
      </c>
      <c r="C8" s="2">
        <v>44798.641400462962</v>
      </c>
      <c r="D8">
        <v>0</v>
      </c>
      <c r="E8">
        <v>3717</v>
      </c>
      <c r="F8">
        <v>1</v>
      </c>
      <c r="G8">
        <v>2</v>
      </c>
      <c r="H8">
        <v>7</v>
      </c>
      <c r="I8">
        <v>6004</v>
      </c>
      <c r="J8" s="1" t="s">
        <v>15</v>
      </c>
      <c r="K8">
        <v>220746</v>
      </c>
      <c r="L8">
        <v>2200.9499999999998</v>
      </c>
      <c r="M8">
        <v>214</v>
      </c>
      <c r="N8" s="1" t="s">
        <v>15</v>
      </c>
    </row>
    <row r="9" spans="1:14" x14ac:dyDescent="0.25">
      <c r="A9">
        <v>61</v>
      </c>
      <c r="B9" s="1" t="s">
        <v>14</v>
      </c>
      <c r="C9" s="2">
        <v>44798.641400462962</v>
      </c>
      <c r="D9">
        <v>0</v>
      </c>
      <c r="E9">
        <v>3717</v>
      </c>
      <c r="F9">
        <v>1</v>
      </c>
      <c r="G9">
        <v>3</v>
      </c>
      <c r="H9">
        <v>8</v>
      </c>
      <c r="I9">
        <v>6004</v>
      </c>
      <c r="J9" s="1" t="s">
        <v>15</v>
      </c>
      <c r="K9">
        <v>244803</v>
      </c>
      <c r="L9">
        <v>2444.7800000000002</v>
      </c>
      <c r="M9">
        <v>203</v>
      </c>
      <c r="N9" s="1" t="s">
        <v>15</v>
      </c>
    </row>
    <row r="10" spans="1:14" x14ac:dyDescent="0.25">
      <c r="A10">
        <v>61</v>
      </c>
      <c r="B10" s="1" t="s">
        <v>14</v>
      </c>
      <c r="C10" s="2">
        <v>44798.641400462962</v>
      </c>
      <c r="D10">
        <v>0</v>
      </c>
      <c r="E10">
        <v>3717</v>
      </c>
      <c r="F10">
        <v>1</v>
      </c>
      <c r="G10">
        <v>4</v>
      </c>
      <c r="H10">
        <v>9</v>
      </c>
      <c r="I10">
        <v>6004</v>
      </c>
      <c r="J10" s="1" t="s">
        <v>15</v>
      </c>
      <c r="K10">
        <v>328771</v>
      </c>
      <c r="L10">
        <v>3280.34</v>
      </c>
      <c r="M10">
        <v>175</v>
      </c>
      <c r="N10" s="1" t="s">
        <v>15</v>
      </c>
    </row>
    <row r="11" spans="1:14" x14ac:dyDescent="0.25">
      <c r="A11">
        <v>61</v>
      </c>
      <c r="B11" s="1" t="s">
        <v>14</v>
      </c>
      <c r="C11" s="2">
        <v>44798.641400462962</v>
      </c>
      <c r="D11">
        <v>0</v>
      </c>
      <c r="E11">
        <v>3717</v>
      </c>
      <c r="F11">
        <v>1</v>
      </c>
      <c r="G11">
        <v>5</v>
      </c>
      <c r="H11">
        <v>10</v>
      </c>
      <c r="I11">
        <v>6004</v>
      </c>
      <c r="J11" s="1" t="s">
        <v>15</v>
      </c>
      <c r="K11">
        <v>674</v>
      </c>
      <c r="L11">
        <v>649.32000000000005</v>
      </c>
      <c r="M11">
        <v>39</v>
      </c>
      <c r="N11" s="1" t="s">
        <v>15</v>
      </c>
    </row>
    <row r="12" spans="1:14" x14ac:dyDescent="0.25">
      <c r="A12">
        <v>61</v>
      </c>
      <c r="B12" s="1" t="s">
        <v>14</v>
      </c>
      <c r="C12" s="2">
        <v>44798.642534722225</v>
      </c>
      <c r="D12">
        <v>0</v>
      </c>
      <c r="E12">
        <v>3717</v>
      </c>
      <c r="F12">
        <v>2</v>
      </c>
      <c r="G12">
        <v>1</v>
      </c>
      <c r="H12">
        <v>1</v>
      </c>
      <c r="I12">
        <v>6004</v>
      </c>
      <c r="J12" s="1" t="s">
        <v>15</v>
      </c>
      <c r="K12">
        <v>207</v>
      </c>
      <c r="L12">
        <v>190.21</v>
      </c>
      <c r="M12">
        <v>725</v>
      </c>
      <c r="N12" s="1" t="s">
        <v>15</v>
      </c>
    </row>
    <row r="13" spans="1:14" x14ac:dyDescent="0.25">
      <c r="A13">
        <v>61</v>
      </c>
      <c r="B13" s="1" t="s">
        <v>14</v>
      </c>
      <c r="C13" s="2">
        <v>44798.642534722225</v>
      </c>
      <c r="D13">
        <v>0</v>
      </c>
      <c r="E13">
        <v>3717</v>
      </c>
      <c r="F13">
        <v>2</v>
      </c>
      <c r="G13">
        <v>2</v>
      </c>
      <c r="H13">
        <v>2</v>
      </c>
      <c r="I13">
        <v>6004</v>
      </c>
      <c r="J13" s="1" t="s">
        <v>15</v>
      </c>
      <c r="K13">
        <v>407</v>
      </c>
      <c r="L13">
        <v>394.34</v>
      </c>
      <c r="M13">
        <v>505</v>
      </c>
      <c r="N13" s="1" t="s">
        <v>15</v>
      </c>
    </row>
    <row r="14" spans="1:14" x14ac:dyDescent="0.25">
      <c r="A14">
        <v>61</v>
      </c>
      <c r="B14" s="1" t="s">
        <v>14</v>
      </c>
      <c r="C14" s="2">
        <v>44798.642534722225</v>
      </c>
      <c r="D14">
        <v>0</v>
      </c>
      <c r="E14">
        <v>3717</v>
      </c>
      <c r="F14">
        <v>2</v>
      </c>
      <c r="G14">
        <v>3</v>
      </c>
      <c r="H14">
        <v>3</v>
      </c>
      <c r="I14">
        <v>6004</v>
      </c>
      <c r="J14" s="1" t="s">
        <v>15</v>
      </c>
      <c r="K14">
        <v>46846</v>
      </c>
      <c r="L14">
        <v>454.41</v>
      </c>
      <c r="M14">
        <v>471</v>
      </c>
      <c r="N14" s="1" t="s">
        <v>15</v>
      </c>
    </row>
    <row r="15" spans="1:14" x14ac:dyDescent="0.25">
      <c r="A15">
        <v>61</v>
      </c>
      <c r="B15" s="1" t="s">
        <v>14</v>
      </c>
      <c r="C15" s="2">
        <v>44798.642534722225</v>
      </c>
      <c r="D15">
        <v>0</v>
      </c>
      <c r="E15">
        <v>3717</v>
      </c>
      <c r="F15">
        <v>2</v>
      </c>
      <c r="G15">
        <v>4</v>
      </c>
      <c r="H15">
        <v>4</v>
      </c>
      <c r="I15">
        <v>6004</v>
      </c>
      <c r="J15" s="1" t="s">
        <v>15</v>
      </c>
      <c r="K15">
        <v>79293</v>
      </c>
      <c r="L15">
        <v>779.27</v>
      </c>
      <c r="M15">
        <v>359</v>
      </c>
      <c r="N15" s="1" t="s">
        <v>15</v>
      </c>
    </row>
    <row r="16" spans="1:14" x14ac:dyDescent="0.25">
      <c r="A16">
        <v>61</v>
      </c>
      <c r="B16" s="1" t="s">
        <v>14</v>
      </c>
      <c r="C16" s="2">
        <v>44798.642534722225</v>
      </c>
      <c r="D16">
        <v>0</v>
      </c>
      <c r="E16">
        <v>3717</v>
      </c>
      <c r="F16">
        <v>2</v>
      </c>
      <c r="G16">
        <v>5</v>
      </c>
      <c r="H16">
        <v>5</v>
      </c>
      <c r="I16">
        <v>6004</v>
      </c>
      <c r="J16" s="1" t="s">
        <v>15</v>
      </c>
      <c r="K16">
        <v>118153</v>
      </c>
      <c r="L16">
        <v>1149.5</v>
      </c>
      <c r="M16">
        <v>293</v>
      </c>
      <c r="N16" s="1" t="s">
        <v>15</v>
      </c>
    </row>
    <row r="17" spans="1:14" x14ac:dyDescent="0.25">
      <c r="A17">
        <v>61</v>
      </c>
      <c r="B17" s="1" t="s">
        <v>14</v>
      </c>
      <c r="C17" s="2">
        <v>44798.643425925926</v>
      </c>
      <c r="D17">
        <v>0</v>
      </c>
      <c r="E17">
        <v>3717</v>
      </c>
      <c r="F17">
        <v>2</v>
      </c>
      <c r="G17">
        <v>1</v>
      </c>
      <c r="H17">
        <v>6</v>
      </c>
      <c r="I17">
        <v>6004</v>
      </c>
      <c r="J17" s="1" t="s">
        <v>15</v>
      </c>
      <c r="K17">
        <v>149932</v>
      </c>
      <c r="L17">
        <v>1483.1</v>
      </c>
      <c r="M17">
        <v>26</v>
      </c>
      <c r="N17" s="1" t="s">
        <v>15</v>
      </c>
    </row>
    <row r="18" spans="1:14" x14ac:dyDescent="0.25">
      <c r="A18">
        <v>61</v>
      </c>
      <c r="B18" s="1" t="s">
        <v>14</v>
      </c>
      <c r="C18" s="2">
        <v>44798.643425925926</v>
      </c>
      <c r="D18">
        <v>0</v>
      </c>
      <c r="E18">
        <v>3717</v>
      </c>
      <c r="F18">
        <v>2</v>
      </c>
      <c r="G18">
        <v>2</v>
      </c>
      <c r="H18">
        <v>7</v>
      </c>
      <c r="I18">
        <v>6004</v>
      </c>
      <c r="J18" s="1" t="s">
        <v>15</v>
      </c>
      <c r="K18">
        <v>155575</v>
      </c>
      <c r="L18">
        <v>1547</v>
      </c>
      <c r="M18">
        <v>255</v>
      </c>
      <c r="N18" s="1" t="s">
        <v>15</v>
      </c>
    </row>
    <row r="19" spans="1:14" x14ac:dyDescent="0.25">
      <c r="A19">
        <v>61</v>
      </c>
      <c r="B19" s="1" t="s">
        <v>14</v>
      </c>
      <c r="C19" s="2">
        <v>44798.643425925926</v>
      </c>
      <c r="D19">
        <v>0</v>
      </c>
      <c r="E19">
        <v>3717</v>
      </c>
      <c r="F19">
        <v>2</v>
      </c>
      <c r="G19">
        <v>3</v>
      </c>
      <c r="H19">
        <v>8</v>
      </c>
      <c r="I19">
        <v>6004</v>
      </c>
      <c r="J19" s="1" t="s">
        <v>15</v>
      </c>
      <c r="K19">
        <v>203357</v>
      </c>
      <c r="L19">
        <v>2028.05</v>
      </c>
      <c r="M19">
        <v>223</v>
      </c>
      <c r="N19" s="1" t="s">
        <v>15</v>
      </c>
    </row>
    <row r="20" spans="1:14" x14ac:dyDescent="0.25">
      <c r="A20">
        <v>61</v>
      </c>
      <c r="B20" s="1" t="s">
        <v>14</v>
      </c>
      <c r="C20" s="2">
        <v>44798.643425925926</v>
      </c>
      <c r="D20">
        <v>0</v>
      </c>
      <c r="E20">
        <v>3717</v>
      </c>
      <c r="F20">
        <v>2</v>
      </c>
      <c r="G20">
        <v>4</v>
      </c>
      <c r="H20">
        <v>9</v>
      </c>
      <c r="I20">
        <v>6004</v>
      </c>
      <c r="J20" s="1" t="s">
        <v>15</v>
      </c>
      <c r="K20">
        <v>305659</v>
      </c>
      <c r="L20">
        <v>3048.63</v>
      </c>
      <c r="M20">
        <v>181</v>
      </c>
      <c r="N20" s="1" t="s">
        <v>15</v>
      </c>
    </row>
    <row r="21" spans="1:14" x14ac:dyDescent="0.25">
      <c r="A21">
        <v>61</v>
      </c>
      <c r="B21" s="1" t="s">
        <v>14</v>
      </c>
      <c r="C21" s="2">
        <v>44798.643425925926</v>
      </c>
      <c r="D21">
        <v>0</v>
      </c>
      <c r="E21">
        <v>3717</v>
      </c>
      <c r="F21">
        <v>2</v>
      </c>
      <c r="G21">
        <v>5</v>
      </c>
      <c r="H21">
        <v>10</v>
      </c>
      <c r="I21">
        <v>6004</v>
      </c>
      <c r="J21" s="1" t="s">
        <v>15</v>
      </c>
      <c r="K21">
        <v>83085</v>
      </c>
      <c r="L21">
        <v>803.9</v>
      </c>
      <c r="M21">
        <v>35</v>
      </c>
      <c r="N21" s="1" t="s">
        <v>15</v>
      </c>
    </row>
    <row r="22" spans="1:14" x14ac:dyDescent="0.25">
      <c r="A22">
        <v>61</v>
      </c>
      <c r="B22" s="1" t="s">
        <v>14</v>
      </c>
      <c r="C22" s="2">
        <v>44798.644675925927</v>
      </c>
      <c r="D22">
        <v>0</v>
      </c>
      <c r="E22">
        <v>3717</v>
      </c>
      <c r="F22">
        <v>3</v>
      </c>
      <c r="G22">
        <v>1</v>
      </c>
      <c r="H22">
        <v>1</v>
      </c>
      <c r="I22">
        <v>6006</v>
      </c>
      <c r="J22" s="1" t="s">
        <v>15</v>
      </c>
      <c r="K22">
        <v>200</v>
      </c>
      <c r="L22">
        <v>183.16</v>
      </c>
      <c r="M22">
        <v>739</v>
      </c>
      <c r="N22" s="1" t="s">
        <v>15</v>
      </c>
    </row>
    <row r="23" spans="1:14" x14ac:dyDescent="0.25">
      <c r="A23">
        <v>61</v>
      </c>
      <c r="B23" s="1" t="s">
        <v>14</v>
      </c>
      <c r="C23" s="2">
        <v>44798.644675925927</v>
      </c>
      <c r="D23">
        <v>0</v>
      </c>
      <c r="E23">
        <v>3717</v>
      </c>
      <c r="F23">
        <v>3</v>
      </c>
      <c r="G23">
        <v>2</v>
      </c>
      <c r="H23">
        <v>2</v>
      </c>
      <c r="I23">
        <v>6006</v>
      </c>
      <c r="J23" s="1" t="s">
        <v>15</v>
      </c>
      <c r="K23">
        <v>47844</v>
      </c>
      <c r="L23">
        <v>465.9</v>
      </c>
      <c r="M23">
        <v>464</v>
      </c>
      <c r="N23" s="1" t="s">
        <v>15</v>
      </c>
    </row>
    <row r="24" spans="1:14" x14ac:dyDescent="0.25">
      <c r="A24">
        <v>61</v>
      </c>
      <c r="B24" s="1" t="s">
        <v>14</v>
      </c>
      <c r="C24" s="2">
        <v>44798.644675925927</v>
      </c>
      <c r="D24">
        <v>0</v>
      </c>
      <c r="E24">
        <v>3717</v>
      </c>
      <c r="F24">
        <v>3</v>
      </c>
      <c r="G24">
        <v>3</v>
      </c>
      <c r="H24">
        <v>3</v>
      </c>
      <c r="I24">
        <v>6006</v>
      </c>
      <c r="J24" s="1" t="s">
        <v>15</v>
      </c>
      <c r="K24">
        <v>45803</v>
      </c>
      <c r="L24">
        <v>443.82</v>
      </c>
      <c r="M24">
        <v>476</v>
      </c>
      <c r="N24" s="1" t="s">
        <v>15</v>
      </c>
    </row>
    <row r="25" spans="1:14" x14ac:dyDescent="0.25">
      <c r="A25">
        <v>61</v>
      </c>
      <c r="B25" s="1" t="s">
        <v>14</v>
      </c>
      <c r="C25" s="2">
        <v>44798.644675925927</v>
      </c>
      <c r="D25">
        <v>0</v>
      </c>
      <c r="E25">
        <v>3717</v>
      </c>
      <c r="F25">
        <v>3</v>
      </c>
      <c r="G25">
        <v>4</v>
      </c>
      <c r="H25">
        <v>4</v>
      </c>
      <c r="I25">
        <v>6006</v>
      </c>
      <c r="J25" s="1" t="s">
        <v>15</v>
      </c>
      <c r="K25">
        <v>109496</v>
      </c>
      <c r="L25">
        <v>1081.77</v>
      </c>
      <c r="M25">
        <v>305</v>
      </c>
      <c r="N25" s="1" t="s">
        <v>15</v>
      </c>
    </row>
    <row r="26" spans="1:14" x14ac:dyDescent="0.25">
      <c r="A26">
        <v>61</v>
      </c>
      <c r="B26" s="1" t="s">
        <v>14</v>
      </c>
      <c r="C26" s="2">
        <v>44798.644675925927</v>
      </c>
      <c r="D26">
        <v>0</v>
      </c>
      <c r="E26">
        <v>3717</v>
      </c>
      <c r="F26">
        <v>3</v>
      </c>
      <c r="G26">
        <v>5</v>
      </c>
      <c r="H26">
        <v>5</v>
      </c>
      <c r="I26">
        <v>6006</v>
      </c>
      <c r="J26" s="1" t="s">
        <v>15</v>
      </c>
      <c r="K26">
        <v>137152</v>
      </c>
      <c r="L26">
        <v>1336.42</v>
      </c>
      <c r="M26">
        <v>272</v>
      </c>
      <c r="N26" s="1" t="s">
        <v>15</v>
      </c>
    </row>
    <row r="27" spans="1:14" x14ac:dyDescent="0.25">
      <c r="A27">
        <v>61</v>
      </c>
      <c r="B27" s="1" t="s">
        <v>14</v>
      </c>
      <c r="C27" s="2">
        <v>44798.645555555559</v>
      </c>
      <c r="D27">
        <v>0</v>
      </c>
      <c r="E27">
        <v>3717</v>
      </c>
      <c r="F27">
        <v>3</v>
      </c>
      <c r="G27">
        <v>1</v>
      </c>
      <c r="H27">
        <v>6</v>
      </c>
      <c r="I27">
        <v>6004</v>
      </c>
      <c r="J27" s="1" t="s">
        <v>15</v>
      </c>
      <c r="K27">
        <v>128087</v>
      </c>
      <c r="L27">
        <v>1264.5999999999999</v>
      </c>
      <c r="M27">
        <v>281</v>
      </c>
      <c r="N27" s="1" t="s">
        <v>15</v>
      </c>
    </row>
    <row r="28" spans="1:14" x14ac:dyDescent="0.25">
      <c r="A28">
        <v>61</v>
      </c>
      <c r="B28" s="1" t="s">
        <v>14</v>
      </c>
      <c r="C28" s="2">
        <v>44798.645555555559</v>
      </c>
      <c r="D28">
        <v>0</v>
      </c>
      <c r="E28">
        <v>3717</v>
      </c>
      <c r="F28">
        <v>3</v>
      </c>
      <c r="G28">
        <v>2</v>
      </c>
      <c r="H28">
        <v>7</v>
      </c>
      <c r="I28">
        <v>6004</v>
      </c>
      <c r="J28" s="1" t="s">
        <v>15</v>
      </c>
      <c r="K28">
        <v>174743</v>
      </c>
      <c r="L28">
        <v>1739.4</v>
      </c>
      <c r="M28">
        <v>24</v>
      </c>
      <c r="N28" s="1" t="s">
        <v>15</v>
      </c>
    </row>
    <row r="29" spans="1:14" x14ac:dyDescent="0.25">
      <c r="A29">
        <v>61</v>
      </c>
      <c r="B29" s="1" t="s">
        <v>14</v>
      </c>
      <c r="C29" s="2">
        <v>44798.645555555559</v>
      </c>
      <c r="D29">
        <v>0</v>
      </c>
      <c r="E29">
        <v>3717</v>
      </c>
      <c r="F29">
        <v>3</v>
      </c>
      <c r="G29">
        <v>3</v>
      </c>
      <c r="H29">
        <v>8</v>
      </c>
      <c r="I29">
        <v>6004</v>
      </c>
      <c r="J29" s="1" t="s">
        <v>15</v>
      </c>
      <c r="K29">
        <v>180906</v>
      </c>
      <c r="L29">
        <v>1802.37</v>
      </c>
      <c r="M29">
        <v>236</v>
      </c>
      <c r="N29" s="1" t="s">
        <v>15</v>
      </c>
    </row>
    <row r="30" spans="1:14" x14ac:dyDescent="0.25">
      <c r="A30">
        <v>61</v>
      </c>
      <c r="B30" s="1" t="s">
        <v>14</v>
      </c>
      <c r="C30" s="2">
        <v>44798.645555555559</v>
      </c>
      <c r="D30">
        <v>0</v>
      </c>
      <c r="E30">
        <v>3717</v>
      </c>
      <c r="F30">
        <v>3</v>
      </c>
      <c r="G30">
        <v>4</v>
      </c>
      <c r="H30">
        <v>9</v>
      </c>
      <c r="I30">
        <v>6004</v>
      </c>
      <c r="J30" s="1" t="s">
        <v>15</v>
      </c>
      <c r="K30">
        <v>354123</v>
      </c>
      <c r="L30">
        <v>3534.69</v>
      </c>
      <c r="M30">
        <v>168</v>
      </c>
      <c r="N30" s="1" t="s">
        <v>15</v>
      </c>
    </row>
    <row r="31" spans="1:14" x14ac:dyDescent="0.25">
      <c r="A31">
        <v>61</v>
      </c>
      <c r="B31" s="1" t="s">
        <v>14</v>
      </c>
      <c r="C31" s="2">
        <v>44798.645555555559</v>
      </c>
      <c r="D31">
        <v>0</v>
      </c>
      <c r="E31">
        <v>3717</v>
      </c>
      <c r="F31">
        <v>3</v>
      </c>
      <c r="G31">
        <v>5</v>
      </c>
      <c r="H31">
        <v>10</v>
      </c>
      <c r="I31">
        <v>6004</v>
      </c>
      <c r="J31" s="1" t="s">
        <v>15</v>
      </c>
      <c r="K31">
        <v>75313</v>
      </c>
      <c r="L31">
        <v>727.34</v>
      </c>
      <c r="M31">
        <v>368</v>
      </c>
      <c r="N31" s="1" t="s">
        <v>15</v>
      </c>
    </row>
    <row r="32" spans="1:14" x14ac:dyDescent="0.25">
      <c r="A32">
        <v>61</v>
      </c>
      <c r="B32" s="1" t="s">
        <v>14</v>
      </c>
      <c r="C32" s="2">
        <v>44798.646793981483</v>
      </c>
      <c r="D32">
        <v>0</v>
      </c>
      <c r="E32">
        <v>3717</v>
      </c>
      <c r="F32">
        <v>4</v>
      </c>
      <c r="G32">
        <v>1</v>
      </c>
      <c r="H32">
        <v>1</v>
      </c>
      <c r="I32">
        <v>6004</v>
      </c>
      <c r="J32" s="1" t="s">
        <v>15</v>
      </c>
      <c r="K32">
        <v>6993</v>
      </c>
      <c r="L32">
        <v>53.09</v>
      </c>
      <c r="M32">
        <v>1373</v>
      </c>
      <c r="N32" s="1" t="s">
        <v>16</v>
      </c>
    </row>
    <row r="33" spans="1:14" x14ac:dyDescent="0.25">
      <c r="A33">
        <v>61</v>
      </c>
      <c r="B33" s="1" t="s">
        <v>14</v>
      </c>
      <c r="C33" s="2">
        <v>44798.646793981483</v>
      </c>
      <c r="D33">
        <v>0</v>
      </c>
      <c r="E33">
        <v>3717</v>
      </c>
      <c r="F33">
        <v>4</v>
      </c>
      <c r="G33">
        <v>2</v>
      </c>
      <c r="H33">
        <v>2</v>
      </c>
      <c r="I33">
        <v>6004</v>
      </c>
      <c r="J33" s="1" t="s">
        <v>15</v>
      </c>
      <c r="K33">
        <v>12793</v>
      </c>
      <c r="L33">
        <v>114.35</v>
      </c>
      <c r="M33">
        <v>937</v>
      </c>
      <c r="N33" s="1" t="s">
        <v>16</v>
      </c>
    </row>
    <row r="34" spans="1:14" x14ac:dyDescent="0.25">
      <c r="A34">
        <v>61</v>
      </c>
      <c r="B34" s="1" t="s">
        <v>14</v>
      </c>
      <c r="C34" s="2">
        <v>44798.646793981483</v>
      </c>
      <c r="D34">
        <v>0</v>
      </c>
      <c r="E34">
        <v>3717</v>
      </c>
      <c r="F34">
        <v>4</v>
      </c>
      <c r="G34">
        <v>3</v>
      </c>
      <c r="H34">
        <v>3</v>
      </c>
      <c r="I34">
        <v>6004</v>
      </c>
      <c r="J34" s="1" t="s">
        <v>15</v>
      </c>
      <c r="K34">
        <v>175</v>
      </c>
      <c r="L34">
        <v>159.38999999999999</v>
      </c>
      <c r="M34">
        <v>794</v>
      </c>
      <c r="N34" s="1" t="s">
        <v>15</v>
      </c>
    </row>
    <row r="35" spans="1:14" x14ac:dyDescent="0.25">
      <c r="A35">
        <v>61</v>
      </c>
      <c r="B35" s="1" t="s">
        <v>14</v>
      </c>
      <c r="C35" s="2">
        <v>44798.646793981483</v>
      </c>
      <c r="D35">
        <v>0</v>
      </c>
      <c r="E35">
        <v>3717</v>
      </c>
      <c r="F35">
        <v>4</v>
      </c>
      <c r="G35">
        <v>4</v>
      </c>
      <c r="H35">
        <v>4</v>
      </c>
      <c r="I35">
        <v>6004</v>
      </c>
      <c r="J35" s="1" t="s">
        <v>15</v>
      </c>
      <c r="K35">
        <v>24514</v>
      </c>
      <c r="L35">
        <v>230.18</v>
      </c>
      <c r="M35">
        <v>66</v>
      </c>
      <c r="N35" s="1" t="s">
        <v>15</v>
      </c>
    </row>
    <row r="36" spans="1:14" x14ac:dyDescent="0.25">
      <c r="A36">
        <v>61</v>
      </c>
      <c r="B36" s="1" t="s">
        <v>14</v>
      </c>
      <c r="C36" s="2">
        <v>44798.646793981483</v>
      </c>
      <c r="D36">
        <v>0</v>
      </c>
      <c r="E36">
        <v>3717</v>
      </c>
      <c r="F36">
        <v>4</v>
      </c>
      <c r="G36">
        <v>5</v>
      </c>
      <c r="H36">
        <v>5</v>
      </c>
      <c r="I36">
        <v>6004</v>
      </c>
      <c r="J36" s="1" t="s">
        <v>15</v>
      </c>
      <c r="K36">
        <v>29635</v>
      </c>
      <c r="L36">
        <v>277.16000000000003</v>
      </c>
      <c r="M36">
        <v>597</v>
      </c>
      <c r="N36" s="1" t="s">
        <v>15</v>
      </c>
    </row>
    <row r="37" spans="1:14" x14ac:dyDescent="0.25">
      <c r="A37">
        <v>61</v>
      </c>
      <c r="B37" s="1" t="s">
        <v>14</v>
      </c>
      <c r="C37" s="2">
        <v>44798.647685185184</v>
      </c>
      <c r="D37">
        <v>0</v>
      </c>
      <c r="E37">
        <v>3717</v>
      </c>
      <c r="F37">
        <v>4</v>
      </c>
      <c r="G37">
        <v>1</v>
      </c>
      <c r="H37">
        <v>6</v>
      </c>
      <c r="I37">
        <v>6006</v>
      </c>
      <c r="J37" s="1" t="s">
        <v>15</v>
      </c>
      <c r="K37">
        <v>3391</v>
      </c>
      <c r="L37">
        <v>322.29000000000002</v>
      </c>
      <c r="M37">
        <v>557</v>
      </c>
      <c r="N37" s="1" t="s">
        <v>15</v>
      </c>
    </row>
    <row r="38" spans="1:14" x14ac:dyDescent="0.25">
      <c r="A38">
        <v>61</v>
      </c>
      <c r="B38" s="1" t="s">
        <v>14</v>
      </c>
      <c r="C38" s="2">
        <v>44798.647685185184</v>
      </c>
      <c r="D38">
        <v>0</v>
      </c>
      <c r="E38">
        <v>3717</v>
      </c>
      <c r="F38">
        <v>4</v>
      </c>
      <c r="G38">
        <v>2</v>
      </c>
      <c r="H38">
        <v>7</v>
      </c>
      <c r="I38">
        <v>6006</v>
      </c>
      <c r="J38" s="1" t="s">
        <v>15</v>
      </c>
      <c r="K38">
        <v>39999</v>
      </c>
      <c r="L38">
        <v>387.23</v>
      </c>
      <c r="M38">
        <v>509</v>
      </c>
      <c r="N38" s="1" t="s">
        <v>15</v>
      </c>
    </row>
    <row r="39" spans="1:14" x14ac:dyDescent="0.25">
      <c r="A39">
        <v>61</v>
      </c>
      <c r="B39" s="1" t="s">
        <v>14</v>
      </c>
      <c r="C39" s="2">
        <v>44798.647685185184</v>
      </c>
      <c r="D39">
        <v>0</v>
      </c>
      <c r="E39">
        <v>3717</v>
      </c>
      <c r="F39">
        <v>4</v>
      </c>
      <c r="G39">
        <v>3</v>
      </c>
      <c r="H39">
        <v>8</v>
      </c>
      <c r="I39">
        <v>6006</v>
      </c>
      <c r="J39" s="1" t="s">
        <v>15</v>
      </c>
      <c r="K39">
        <v>42264</v>
      </c>
      <c r="L39">
        <v>408.27</v>
      </c>
      <c r="M39">
        <v>496</v>
      </c>
      <c r="N39" s="1" t="s">
        <v>15</v>
      </c>
    </row>
    <row r="40" spans="1:14" x14ac:dyDescent="0.25">
      <c r="A40">
        <v>61</v>
      </c>
      <c r="B40" s="1" t="s">
        <v>14</v>
      </c>
      <c r="C40" s="2">
        <v>44798.647685185184</v>
      </c>
      <c r="D40">
        <v>0</v>
      </c>
      <c r="E40">
        <v>3717</v>
      </c>
      <c r="F40">
        <v>4</v>
      </c>
      <c r="G40">
        <v>4</v>
      </c>
      <c r="H40">
        <v>9</v>
      </c>
      <c r="I40">
        <v>6006</v>
      </c>
      <c r="J40" s="1" t="s">
        <v>15</v>
      </c>
      <c r="K40">
        <v>3393</v>
      </c>
      <c r="L40">
        <v>324.48</v>
      </c>
      <c r="M40">
        <v>556</v>
      </c>
      <c r="N40" s="1" t="s">
        <v>15</v>
      </c>
    </row>
    <row r="41" spans="1:14" x14ac:dyDescent="0.25">
      <c r="A41">
        <v>61</v>
      </c>
      <c r="B41" s="1" t="s">
        <v>14</v>
      </c>
      <c r="C41" s="2">
        <v>44798.647685185184</v>
      </c>
      <c r="D41">
        <v>0</v>
      </c>
      <c r="E41">
        <v>3717</v>
      </c>
      <c r="F41">
        <v>4</v>
      </c>
      <c r="G41">
        <v>5</v>
      </c>
      <c r="H41">
        <v>10</v>
      </c>
      <c r="I41">
        <v>6006</v>
      </c>
      <c r="J41" s="1" t="s">
        <v>15</v>
      </c>
      <c r="K41">
        <v>78724</v>
      </c>
      <c r="L41">
        <v>760.76</v>
      </c>
      <c r="M41">
        <v>36</v>
      </c>
      <c r="N41" s="1" t="s">
        <v>15</v>
      </c>
    </row>
    <row r="42" spans="1:14" x14ac:dyDescent="0.25">
      <c r="A42">
        <v>61</v>
      </c>
      <c r="B42" s="1" t="s">
        <v>14</v>
      </c>
      <c r="C42" s="2">
        <v>44798.648912037039</v>
      </c>
      <c r="D42">
        <v>0</v>
      </c>
      <c r="E42">
        <v>3717</v>
      </c>
      <c r="F42">
        <v>5</v>
      </c>
      <c r="G42">
        <v>1</v>
      </c>
      <c r="H42">
        <v>1</v>
      </c>
      <c r="I42">
        <v>6004</v>
      </c>
      <c r="J42" s="1" t="s">
        <v>15</v>
      </c>
      <c r="K42">
        <v>7992</v>
      </c>
      <c r="L42">
        <v>63.08</v>
      </c>
      <c r="M42">
        <v>126</v>
      </c>
      <c r="N42" s="1" t="s">
        <v>16</v>
      </c>
    </row>
    <row r="43" spans="1:14" x14ac:dyDescent="0.25">
      <c r="A43">
        <v>61</v>
      </c>
      <c r="B43" s="1" t="s">
        <v>14</v>
      </c>
      <c r="C43" s="2">
        <v>44798.648912037039</v>
      </c>
      <c r="D43">
        <v>0</v>
      </c>
      <c r="E43">
        <v>3717</v>
      </c>
      <c r="F43">
        <v>5</v>
      </c>
      <c r="G43">
        <v>2</v>
      </c>
      <c r="H43">
        <v>2</v>
      </c>
      <c r="I43">
        <v>6004</v>
      </c>
      <c r="J43" s="1" t="s">
        <v>15</v>
      </c>
      <c r="K43">
        <v>15095</v>
      </c>
      <c r="L43">
        <v>137.44999999999999</v>
      </c>
      <c r="M43">
        <v>855</v>
      </c>
      <c r="N43" s="1" t="s">
        <v>15</v>
      </c>
    </row>
    <row r="44" spans="1:14" x14ac:dyDescent="0.25">
      <c r="A44">
        <v>61</v>
      </c>
      <c r="B44" s="1" t="s">
        <v>14</v>
      </c>
      <c r="C44" s="2">
        <v>44798.648912037039</v>
      </c>
      <c r="D44">
        <v>0</v>
      </c>
      <c r="E44">
        <v>3717</v>
      </c>
      <c r="F44">
        <v>5</v>
      </c>
      <c r="G44">
        <v>3</v>
      </c>
      <c r="H44">
        <v>3</v>
      </c>
      <c r="I44">
        <v>6004</v>
      </c>
      <c r="J44" s="1" t="s">
        <v>15</v>
      </c>
      <c r="K44">
        <v>24262</v>
      </c>
      <c r="L44">
        <v>227.38</v>
      </c>
      <c r="M44">
        <v>665</v>
      </c>
      <c r="N44" s="1" t="s">
        <v>15</v>
      </c>
    </row>
    <row r="45" spans="1:14" x14ac:dyDescent="0.25">
      <c r="A45">
        <v>61</v>
      </c>
      <c r="B45" s="1" t="s">
        <v>14</v>
      </c>
      <c r="C45" s="2">
        <v>44798.648912037039</v>
      </c>
      <c r="D45">
        <v>0</v>
      </c>
      <c r="E45">
        <v>3717</v>
      </c>
      <c r="F45">
        <v>5</v>
      </c>
      <c r="G45">
        <v>4</v>
      </c>
      <c r="H45">
        <v>4</v>
      </c>
      <c r="I45">
        <v>6004</v>
      </c>
      <c r="J45" s="1" t="s">
        <v>15</v>
      </c>
      <c r="K45">
        <v>196</v>
      </c>
      <c r="L45">
        <v>180.93</v>
      </c>
      <c r="M45">
        <v>745</v>
      </c>
      <c r="N45" s="1" t="s">
        <v>15</v>
      </c>
    </row>
    <row r="46" spans="1:14" x14ac:dyDescent="0.25">
      <c r="A46">
        <v>61</v>
      </c>
      <c r="B46" s="1" t="s">
        <v>14</v>
      </c>
      <c r="C46" s="2">
        <v>44798.648912037039</v>
      </c>
      <c r="D46">
        <v>0</v>
      </c>
      <c r="E46">
        <v>3717</v>
      </c>
      <c r="F46">
        <v>5</v>
      </c>
      <c r="G46">
        <v>5</v>
      </c>
      <c r="H46">
        <v>5</v>
      </c>
      <c r="I46">
        <v>6004</v>
      </c>
      <c r="J46" s="1" t="s">
        <v>15</v>
      </c>
      <c r="K46">
        <v>310</v>
      </c>
      <c r="L46">
        <v>290.62</v>
      </c>
      <c r="M46">
        <v>583</v>
      </c>
      <c r="N46" s="1" t="s">
        <v>15</v>
      </c>
    </row>
    <row r="47" spans="1:14" x14ac:dyDescent="0.25">
      <c r="A47">
        <v>61</v>
      </c>
      <c r="B47" s="1" t="s">
        <v>14</v>
      </c>
      <c r="C47" s="2">
        <v>44798.64980324074</v>
      </c>
      <c r="D47">
        <v>0</v>
      </c>
      <c r="E47">
        <v>3717</v>
      </c>
      <c r="F47">
        <v>5</v>
      </c>
      <c r="G47">
        <v>1</v>
      </c>
      <c r="H47">
        <v>6</v>
      </c>
      <c r="I47">
        <v>6006</v>
      </c>
      <c r="J47" s="1" t="s">
        <v>15</v>
      </c>
      <c r="K47">
        <v>32485</v>
      </c>
      <c r="L47">
        <v>308.04000000000002</v>
      </c>
      <c r="M47">
        <v>57</v>
      </c>
      <c r="N47" s="1" t="s">
        <v>15</v>
      </c>
    </row>
    <row r="48" spans="1:14" x14ac:dyDescent="0.25">
      <c r="A48">
        <v>61</v>
      </c>
      <c r="B48" s="1" t="s">
        <v>14</v>
      </c>
      <c r="C48" s="2">
        <v>44798.64980324074</v>
      </c>
      <c r="D48">
        <v>0</v>
      </c>
      <c r="E48">
        <v>3717</v>
      </c>
      <c r="F48">
        <v>5</v>
      </c>
      <c r="G48">
        <v>2</v>
      </c>
      <c r="H48">
        <v>7</v>
      </c>
      <c r="I48">
        <v>6006</v>
      </c>
      <c r="J48" s="1" t="s">
        <v>15</v>
      </c>
      <c r="K48">
        <v>38906</v>
      </c>
      <c r="L48">
        <v>376.27</v>
      </c>
      <c r="M48">
        <v>517</v>
      </c>
      <c r="N48" s="1" t="s">
        <v>15</v>
      </c>
    </row>
    <row r="49" spans="1:14" x14ac:dyDescent="0.25">
      <c r="A49">
        <v>61</v>
      </c>
      <c r="B49" s="1" t="s">
        <v>14</v>
      </c>
      <c r="C49" s="2">
        <v>44798.64980324074</v>
      </c>
      <c r="D49">
        <v>0</v>
      </c>
      <c r="E49">
        <v>3717</v>
      </c>
      <c r="F49">
        <v>5</v>
      </c>
      <c r="G49">
        <v>3</v>
      </c>
      <c r="H49">
        <v>8</v>
      </c>
      <c r="I49">
        <v>6006</v>
      </c>
      <c r="J49" s="1" t="s">
        <v>15</v>
      </c>
      <c r="K49">
        <v>40723</v>
      </c>
      <c r="L49">
        <v>392.78</v>
      </c>
      <c r="M49">
        <v>506</v>
      </c>
      <c r="N49" s="1" t="s">
        <v>15</v>
      </c>
    </row>
    <row r="50" spans="1:14" x14ac:dyDescent="0.25">
      <c r="A50">
        <v>61</v>
      </c>
      <c r="B50" s="1" t="s">
        <v>14</v>
      </c>
      <c r="C50" s="2">
        <v>44798.64980324074</v>
      </c>
      <c r="D50">
        <v>0</v>
      </c>
      <c r="E50">
        <v>3717</v>
      </c>
      <c r="F50">
        <v>5</v>
      </c>
      <c r="G50">
        <v>4</v>
      </c>
      <c r="H50">
        <v>9</v>
      </c>
      <c r="I50">
        <v>6006</v>
      </c>
      <c r="J50" s="1" t="s">
        <v>15</v>
      </c>
      <c r="K50">
        <v>4104</v>
      </c>
      <c r="L50">
        <v>395.74</v>
      </c>
      <c r="M50">
        <v>503</v>
      </c>
      <c r="N50" s="1" t="s">
        <v>15</v>
      </c>
    </row>
    <row r="51" spans="1:14" x14ac:dyDescent="0.25">
      <c r="A51">
        <v>61</v>
      </c>
      <c r="B51" s="1" t="s">
        <v>14</v>
      </c>
      <c r="C51" s="2">
        <v>44798.64980324074</v>
      </c>
      <c r="D51">
        <v>0</v>
      </c>
      <c r="E51">
        <v>3717</v>
      </c>
      <c r="F51">
        <v>5</v>
      </c>
      <c r="G51">
        <v>5</v>
      </c>
      <c r="H51">
        <v>10</v>
      </c>
      <c r="I51">
        <v>6006</v>
      </c>
      <c r="J51" s="1" t="s">
        <v>15</v>
      </c>
      <c r="K51">
        <v>74607</v>
      </c>
      <c r="L51">
        <v>720.21</v>
      </c>
      <c r="M51">
        <v>37</v>
      </c>
      <c r="N51" s="1" t="s">
        <v>15</v>
      </c>
    </row>
    <row r="52" spans="1:14" x14ac:dyDescent="0.25">
      <c r="A52">
        <v>61</v>
      </c>
      <c r="B52" s="1" t="s">
        <v>14</v>
      </c>
      <c r="C52" s="2">
        <v>44798.651041666664</v>
      </c>
      <c r="D52">
        <v>0</v>
      </c>
      <c r="E52">
        <v>3717</v>
      </c>
      <c r="F52">
        <v>6</v>
      </c>
      <c r="G52">
        <v>1</v>
      </c>
      <c r="H52">
        <v>1</v>
      </c>
      <c r="I52">
        <v>6006</v>
      </c>
      <c r="J52" s="1" t="s">
        <v>15</v>
      </c>
      <c r="K52">
        <v>61</v>
      </c>
      <c r="L52">
        <v>44.14</v>
      </c>
      <c r="M52">
        <v>1506</v>
      </c>
      <c r="N52" s="1" t="s">
        <v>16</v>
      </c>
    </row>
    <row r="53" spans="1:14" x14ac:dyDescent="0.25">
      <c r="A53">
        <v>61</v>
      </c>
      <c r="B53" s="1" t="s">
        <v>14</v>
      </c>
      <c r="C53" s="2">
        <v>44798.651041666664</v>
      </c>
      <c r="D53">
        <v>0</v>
      </c>
      <c r="E53">
        <v>3717</v>
      </c>
      <c r="F53">
        <v>6</v>
      </c>
      <c r="G53">
        <v>2</v>
      </c>
      <c r="H53">
        <v>2</v>
      </c>
      <c r="I53">
        <v>6006</v>
      </c>
      <c r="J53" s="1" t="s">
        <v>15</v>
      </c>
      <c r="K53">
        <v>1548</v>
      </c>
      <c r="L53">
        <v>141.28</v>
      </c>
      <c r="M53">
        <v>843</v>
      </c>
      <c r="N53" s="1" t="s">
        <v>15</v>
      </c>
    </row>
    <row r="54" spans="1:14" x14ac:dyDescent="0.25">
      <c r="A54">
        <v>61</v>
      </c>
      <c r="B54" s="1" t="s">
        <v>14</v>
      </c>
      <c r="C54" s="2">
        <v>44798.651041666664</v>
      </c>
      <c r="D54">
        <v>0</v>
      </c>
      <c r="E54">
        <v>3717</v>
      </c>
      <c r="F54">
        <v>6</v>
      </c>
      <c r="G54">
        <v>3</v>
      </c>
      <c r="H54">
        <v>3</v>
      </c>
      <c r="I54">
        <v>6006</v>
      </c>
      <c r="J54" s="1" t="s">
        <v>15</v>
      </c>
      <c r="K54">
        <v>18181</v>
      </c>
      <c r="L54">
        <v>166.19</v>
      </c>
      <c r="M54">
        <v>778</v>
      </c>
      <c r="N54" s="1" t="s">
        <v>15</v>
      </c>
    </row>
    <row r="55" spans="1:14" x14ac:dyDescent="0.25">
      <c r="A55">
        <v>61</v>
      </c>
      <c r="B55" s="1" t="s">
        <v>14</v>
      </c>
      <c r="C55" s="2">
        <v>44798.651041666664</v>
      </c>
      <c r="D55">
        <v>0</v>
      </c>
      <c r="E55">
        <v>3717</v>
      </c>
      <c r="F55">
        <v>6</v>
      </c>
      <c r="G55">
        <v>4</v>
      </c>
      <c r="H55">
        <v>4</v>
      </c>
      <c r="I55">
        <v>6006</v>
      </c>
      <c r="J55" s="1" t="s">
        <v>15</v>
      </c>
      <c r="K55">
        <v>248</v>
      </c>
      <c r="L55">
        <v>232.99</v>
      </c>
      <c r="M55">
        <v>656</v>
      </c>
      <c r="N55" s="1" t="s">
        <v>15</v>
      </c>
    </row>
    <row r="56" spans="1:14" x14ac:dyDescent="0.25">
      <c r="A56">
        <v>61</v>
      </c>
      <c r="B56" s="1" t="s">
        <v>14</v>
      </c>
      <c r="C56" s="2">
        <v>44798.651041666664</v>
      </c>
      <c r="D56">
        <v>0</v>
      </c>
      <c r="E56">
        <v>3717</v>
      </c>
      <c r="F56">
        <v>6</v>
      </c>
      <c r="G56">
        <v>5</v>
      </c>
      <c r="H56">
        <v>5</v>
      </c>
      <c r="I56">
        <v>6006</v>
      </c>
      <c r="J56" s="1" t="s">
        <v>15</v>
      </c>
      <c r="K56">
        <v>288</v>
      </c>
      <c r="L56">
        <v>268.87</v>
      </c>
      <c r="M56">
        <v>606</v>
      </c>
      <c r="N56" s="1" t="s">
        <v>15</v>
      </c>
    </row>
    <row r="57" spans="1:14" x14ac:dyDescent="0.25">
      <c r="A57">
        <v>61</v>
      </c>
      <c r="B57" s="1" t="s">
        <v>14</v>
      </c>
      <c r="C57" s="2">
        <v>44798.651932870373</v>
      </c>
      <c r="D57">
        <v>0</v>
      </c>
      <c r="E57">
        <v>3717</v>
      </c>
      <c r="F57">
        <v>6</v>
      </c>
      <c r="G57">
        <v>1</v>
      </c>
      <c r="H57">
        <v>6</v>
      </c>
      <c r="I57">
        <v>6004</v>
      </c>
      <c r="J57" s="1" t="s">
        <v>15</v>
      </c>
      <c r="K57">
        <v>303</v>
      </c>
      <c r="L57">
        <v>286.27999999999997</v>
      </c>
      <c r="M57">
        <v>591</v>
      </c>
      <c r="N57" s="1" t="s">
        <v>15</v>
      </c>
    </row>
    <row r="58" spans="1:14" x14ac:dyDescent="0.25">
      <c r="A58">
        <v>61</v>
      </c>
      <c r="B58" s="1" t="s">
        <v>14</v>
      </c>
      <c r="C58" s="2">
        <v>44798.651932870373</v>
      </c>
      <c r="D58">
        <v>0</v>
      </c>
      <c r="E58">
        <v>3717</v>
      </c>
      <c r="F58">
        <v>6</v>
      </c>
      <c r="G58">
        <v>2</v>
      </c>
      <c r="H58">
        <v>7</v>
      </c>
      <c r="I58">
        <v>6004</v>
      </c>
      <c r="J58" s="1" t="s">
        <v>15</v>
      </c>
      <c r="K58">
        <v>339</v>
      </c>
      <c r="L58">
        <v>326.14999999999998</v>
      </c>
      <c r="M58">
        <v>555</v>
      </c>
      <c r="N58" s="1" t="s">
        <v>15</v>
      </c>
    </row>
    <row r="59" spans="1:14" x14ac:dyDescent="0.25">
      <c r="A59">
        <v>61</v>
      </c>
      <c r="B59" s="1" t="s">
        <v>14</v>
      </c>
      <c r="C59" s="2">
        <v>44798.651932870373</v>
      </c>
      <c r="D59">
        <v>0</v>
      </c>
      <c r="E59">
        <v>3717</v>
      </c>
      <c r="F59">
        <v>6</v>
      </c>
      <c r="G59">
        <v>3</v>
      </c>
      <c r="H59">
        <v>8</v>
      </c>
      <c r="I59">
        <v>6004</v>
      </c>
      <c r="J59" s="1" t="s">
        <v>15</v>
      </c>
      <c r="K59">
        <v>38592</v>
      </c>
      <c r="L59">
        <v>371.47</v>
      </c>
      <c r="M59">
        <v>52</v>
      </c>
      <c r="N59" s="1" t="s">
        <v>15</v>
      </c>
    </row>
    <row r="60" spans="1:14" x14ac:dyDescent="0.25">
      <c r="A60">
        <v>61</v>
      </c>
      <c r="B60" s="1" t="s">
        <v>14</v>
      </c>
      <c r="C60" s="2">
        <v>44798.651932870373</v>
      </c>
      <c r="D60">
        <v>0</v>
      </c>
      <c r="E60">
        <v>3717</v>
      </c>
      <c r="F60">
        <v>6</v>
      </c>
      <c r="G60">
        <v>4</v>
      </c>
      <c r="H60">
        <v>9</v>
      </c>
      <c r="I60">
        <v>6004</v>
      </c>
      <c r="J60" s="1" t="s">
        <v>15</v>
      </c>
      <c r="K60">
        <v>419</v>
      </c>
      <c r="L60">
        <v>404.49</v>
      </c>
      <c r="M60">
        <v>498</v>
      </c>
      <c r="N60" s="1" t="s">
        <v>15</v>
      </c>
    </row>
    <row r="61" spans="1:14" x14ac:dyDescent="0.25">
      <c r="A61">
        <v>61</v>
      </c>
      <c r="B61" s="1" t="s">
        <v>14</v>
      </c>
      <c r="C61" s="2">
        <v>44798.651932870373</v>
      </c>
      <c r="D61">
        <v>0</v>
      </c>
      <c r="E61">
        <v>3717</v>
      </c>
      <c r="F61">
        <v>6</v>
      </c>
      <c r="G61">
        <v>5</v>
      </c>
      <c r="H61">
        <v>10</v>
      </c>
      <c r="I61">
        <v>6004</v>
      </c>
      <c r="J61" s="1" t="s">
        <v>15</v>
      </c>
      <c r="K61">
        <v>64435</v>
      </c>
      <c r="L61">
        <v>620.16999999999996</v>
      </c>
      <c r="M61">
        <v>399</v>
      </c>
      <c r="N61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8E2DF-2BB0-43C2-881B-FDF55A185D6E}">
  <dimension ref="A1:AO26"/>
  <sheetViews>
    <sheetView tabSelected="1" workbookViewId="0">
      <selection activeCell="H31" sqref="E30:H31"/>
    </sheetView>
  </sheetViews>
  <sheetFormatPr defaultRowHeight="15" x14ac:dyDescent="0.25"/>
  <sheetData>
    <row r="1" spans="1:41" x14ac:dyDescent="0.25">
      <c r="A1" t="s">
        <v>17</v>
      </c>
      <c r="B1">
        <v>9935</v>
      </c>
      <c r="O1" t="s">
        <v>18</v>
      </c>
      <c r="AC1" t="s">
        <v>19</v>
      </c>
    </row>
    <row r="2" spans="1:41" x14ac:dyDescent="0.25">
      <c r="A2" t="s">
        <v>20</v>
      </c>
      <c r="H2" t="s">
        <v>21</v>
      </c>
      <c r="O2" t="s">
        <v>20</v>
      </c>
      <c r="V2" t="s">
        <v>21</v>
      </c>
      <c r="AC2" t="s">
        <v>20</v>
      </c>
      <c r="AJ2" t="s">
        <v>21</v>
      </c>
    </row>
    <row r="3" spans="1:41" x14ac:dyDescent="0.25">
      <c r="A3" t="s">
        <v>22</v>
      </c>
      <c r="B3">
        <v>1</v>
      </c>
      <c r="C3">
        <v>2</v>
      </c>
      <c r="D3">
        <v>3</v>
      </c>
      <c r="E3" t="s">
        <v>23</v>
      </c>
      <c r="F3" t="s">
        <v>24</v>
      </c>
      <c r="H3" t="s">
        <v>22</v>
      </c>
      <c r="I3">
        <v>1</v>
      </c>
      <c r="J3">
        <v>2</v>
      </c>
      <c r="K3">
        <v>3</v>
      </c>
      <c r="L3" t="s">
        <v>23</v>
      </c>
      <c r="M3" t="s">
        <v>24</v>
      </c>
      <c r="O3" t="s">
        <v>22</v>
      </c>
      <c r="P3">
        <v>1</v>
      </c>
      <c r="Q3">
        <v>2</v>
      </c>
      <c r="R3">
        <v>3</v>
      </c>
      <c r="S3" t="s">
        <v>23</v>
      </c>
      <c r="T3" t="s">
        <v>24</v>
      </c>
      <c r="V3" t="s">
        <v>22</v>
      </c>
      <c r="W3">
        <v>1</v>
      </c>
      <c r="X3">
        <v>2</v>
      </c>
      <c r="Y3">
        <v>3</v>
      </c>
      <c r="Z3" t="s">
        <v>23</v>
      </c>
      <c r="AA3" t="s">
        <v>24</v>
      </c>
      <c r="AC3" t="s">
        <v>22</v>
      </c>
      <c r="AD3">
        <v>1</v>
      </c>
      <c r="AE3">
        <v>2</v>
      </c>
      <c r="AF3">
        <v>3</v>
      </c>
      <c r="AG3" t="s">
        <v>23</v>
      </c>
      <c r="AH3" t="s">
        <v>24</v>
      </c>
      <c r="AJ3" t="s">
        <v>22</v>
      </c>
      <c r="AK3">
        <v>1</v>
      </c>
      <c r="AL3">
        <v>2</v>
      </c>
      <c r="AM3">
        <v>3</v>
      </c>
      <c r="AN3" t="s">
        <v>23</v>
      </c>
      <c r="AO3" t="s">
        <v>24</v>
      </c>
    </row>
    <row r="4" spans="1:41" x14ac:dyDescent="0.25">
      <c r="A4">
        <v>0</v>
      </c>
      <c r="B4">
        <v>146.69</v>
      </c>
      <c r="C4">
        <v>190.21</v>
      </c>
      <c r="D4">
        <v>183.16</v>
      </c>
      <c r="E4">
        <f>AVERAGE(B4:D4)</f>
        <v>173.35333333333332</v>
      </c>
      <c r="F4">
        <f>STDEV(B4:D4)</f>
        <v>23.35863081033083</v>
      </c>
      <c r="H4">
        <v>0</v>
      </c>
      <c r="I4">
        <f>B4/$B$1*100</f>
        <v>1.4764972320080523</v>
      </c>
      <c r="J4">
        <f t="shared" ref="J4:K13" si="0">C4/$B$1*100</f>
        <v>1.9145445395067944</v>
      </c>
      <c r="K4">
        <f t="shared" si="0"/>
        <v>1.8435832913940613</v>
      </c>
      <c r="L4">
        <f>AVERAGE(I4:K4)</f>
        <v>1.744875020969636</v>
      </c>
      <c r="M4">
        <f>STDEV(I4:K4)</f>
        <v>0.23511455269583229</v>
      </c>
      <c r="O4">
        <v>0</v>
      </c>
      <c r="P4">
        <f t="shared" ref="P4:R13" si="1">B4-$E$4</f>
        <v>-26.663333333333327</v>
      </c>
      <c r="Q4">
        <f t="shared" si="1"/>
        <v>16.856666666666683</v>
      </c>
      <c r="R4">
        <f>D4-$E$4</f>
        <v>9.806666666666672</v>
      </c>
      <c r="S4">
        <f>AVERAGE(P4:R4)</f>
        <v>9.473903143468002E-15</v>
      </c>
      <c r="T4">
        <f>STDEV(P4:R4)</f>
        <v>23.358630810330759</v>
      </c>
      <c r="V4">
        <v>0</v>
      </c>
      <c r="W4">
        <f>I4-$L$4</f>
        <v>-0.26837778896158371</v>
      </c>
      <c r="X4">
        <f t="shared" ref="X4:Y13" si="2">J4-$L$4</f>
        <v>0.16966951853715839</v>
      </c>
      <c r="Y4">
        <f t="shared" si="2"/>
        <v>9.8708270424425315E-2</v>
      </c>
      <c r="Z4">
        <f>AVERAGE(W4:Y4)</f>
        <v>0</v>
      </c>
      <c r="AA4">
        <f>STDEV(W4:Y4)</f>
        <v>0.23511455269583056</v>
      </c>
      <c r="AC4">
        <v>0</v>
      </c>
      <c r="AD4">
        <f>P4-P17</f>
        <v>-26.316666666666663</v>
      </c>
      <c r="AE4">
        <f t="shared" ref="AE4:AF13" si="3">Q4-Q17</f>
        <v>7.2133333333333525</v>
      </c>
      <c r="AF4">
        <f t="shared" si="3"/>
        <v>19.103333333333339</v>
      </c>
      <c r="AG4">
        <f>AVERAGE(AD4:AF4)</f>
        <v>9.473903143468002E-15</v>
      </c>
      <c r="AH4">
        <f>STDEV(AD4:AF4)</f>
        <v>23.55351849158281</v>
      </c>
      <c r="AJ4">
        <v>0</v>
      </c>
      <c r="AK4">
        <f>W4-W17</f>
        <v>-0.26488844153665503</v>
      </c>
      <c r="AL4">
        <f t="shared" ref="AL4:AM13" si="4">X4-X17</f>
        <v>7.2605267572555143E-2</v>
      </c>
      <c r="AM4">
        <f t="shared" si="4"/>
        <v>0.19228317396409988</v>
      </c>
      <c r="AN4">
        <f>AVERAGE(AK4:AM4)</f>
        <v>0</v>
      </c>
      <c r="AO4">
        <f>STDEV(AK4:AM4)</f>
        <v>0.23707618008638967</v>
      </c>
    </row>
    <row r="5" spans="1:41" x14ac:dyDescent="0.25">
      <c r="A5">
        <v>2.5</v>
      </c>
      <c r="B5">
        <v>596</v>
      </c>
      <c r="C5">
        <v>394.34</v>
      </c>
      <c r="D5">
        <v>465.9</v>
      </c>
      <c r="E5">
        <f t="shared" ref="E5:E13" si="5">AVERAGE(B5:D5)</f>
        <v>485.41333333333324</v>
      </c>
      <c r="F5">
        <f t="shared" ref="F5:F13" si="6">STDEV(B5:D5)</f>
        <v>102.23632687715947</v>
      </c>
      <c r="H5">
        <v>2.5</v>
      </c>
      <c r="I5">
        <f t="shared" ref="I5:I13" si="7">B5/$B$1*100</f>
        <v>5.9989934574735777</v>
      </c>
      <c r="J5">
        <f t="shared" si="0"/>
        <v>3.9691997986914944</v>
      </c>
      <c r="K5">
        <f t="shared" si="0"/>
        <v>4.6894816305988929</v>
      </c>
      <c r="L5">
        <f t="shared" ref="L5:L13" si="8">AVERAGE(I5:K5)</f>
        <v>4.8858916289213221</v>
      </c>
      <c r="M5">
        <f t="shared" ref="M5:M13" si="9">STDEV(I5:K5)</f>
        <v>1.0290521074701429</v>
      </c>
      <c r="O5">
        <v>2.5</v>
      </c>
      <c r="P5">
        <f t="shared" si="1"/>
        <v>422.64666666666665</v>
      </c>
      <c r="Q5">
        <f t="shared" si="1"/>
        <v>220.98666666666665</v>
      </c>
      <c r="R5">
        <f t="shared" si="1"/>
        <v>292.54666666666662</v>
      </c>
      <c r="S5">
        <f t="shared" ref="S5:S13" si="10">AVERAGE(P5:R5)</f>
        <v>312.06</v>
      </c>
      <c r="T5">
        <f t="shared" ref="T5:T13" si="11">STDEV(P5:R5)</f>
        <v>102.23632687715919</v>
      </c>
      <c r="V5">
        <v>2.5</v>
      </c>
      <c r="W5">
        <f t="shared" ref="W5:W13" si="12">I5-$L$4</f>
        <v>4.2541184365039415</v>
      </c>
      <c r="X5">
        <f t="shared" si="2"/>
        <v>2.2243247777218587</v>
      </c>
      <c r="Y5">
        <f t="shared" si="2"/>
        <v>2.9446066096292567</v>
      </c>
      <c r="Z5">
        <f t="shared" ref="Z5:Z13" si="13">AVERAGE(W5:Y5)</f>
        <v>3.1410166079516855</v>
      </c>
      <c r="AA5">
        <f t="shared" ref="AA5:AA13" si="14">STDEV(W5:Y5)</f>
        <v>1.0290521074701491</v>
      </c>
      <c r="AC5">
        <v>2.5</v>
      </c>
      <c r="AD5">
        <f t="shared" ref="AD5:AD13" si="15">P5-P18</f>
        <v>361.73333333333335</v>
      </c>
      <c r="AE5">
        <f t="shared" si="3"/>
        <v>136.97333333333333</v>
      </c>
      <c r="AF5">
        <f t="shared" si="3"/>
        <v>204.70333333333329</v>
      </c>
      <c r="AG5">
        <f t="shared" ref="AG5:AG13" si="16">AVERAGE(AD5:AF5)</f>
        <v>234.47</v>
      </c>
      <c r="AH5">
        <f t="shared" ref="AH5:AH13" si="17">STDEV(AD5:AF5)</f>
        <v>115.29876509890866</v>
      </c>
      <c r="AJ5">
        <v>2.5</v>
      </c>
      <c r="AK5">
        <f t="shared" ref="AK5:AK13" si="18">W5-W18</f>
        <v>3.6409998322429113</v>
      </c>
      <c r="AL5">
        <f t="shared" si="4"/>
        <v>1.3786948498574065</v>
      </c>
      <c r="AM5">
        <f t="shared" si="4"/>
        <v>2.0604261030028517</v>
      </c>
      <c r="AN5">
        <f t="shared" ref="AN5:AN13" si="19">AVERAGE(AK5:AM5)</f>
        <v>2.3600402617010565</v>
      </c>
      <c r="AO5">
        <f t="shared" ref="AO5:AO13" si="20">STDEV(AK5:AM5)</f>
        <v>1.1605311031596246</v>
      </c>
    </row>
    <row r="6" spans="1:41" x14ac:dyDescent="0.25">
      <c r="A6">
        <v>5</v>
      </c>
      <c r="B6">
        <v>416.65</v>
      </c>
      <c r="C6">
        <v>454.41</v>
      </c>
      <c r="D6">
        <v>443.82</v>
      </c>
      <c r="E6">
        <f t="shared" si="5"/>
        <v>438.29333333333329</v>
      </c>
      <c r="F6">
        <f t="shared" si="6"/>
        <v>19.477228584512073</v>
      </c>
      <c r="H6">
        <v>5</v>
      </c>
      <c r="I6">
        <f t="shared" si="7"/>
        <v>4.193759436336185</v>
      </c>
      <c r="J6">
        <f t="shared" si="0"/>
        <v>4.5738298943130351</v>
      </c>
      <c r="K6">
        <f t="shared" si="0"/>
        <v>4.4672370407649726</v>
      </c>
      <c r="L6">
        <f t="shared" si="8"/>
        <v>4.411608790471397</v>
      </c>
      <c r="M6">
        <f t="shared" si="9"/>
        <v>0.1960465886714855</v>
      </c>
      <c r="O6">
        <v>5</v>
      </c>
      <c r="P6">
        <f t="shared" si="1"/>
        <v>243.29666666666665</v>
      </c>
      <c r="Q6">
        <f t="shared" si="1"/>
        <v>281.05666666666673</v>
      </c>
      <c r="R6">
        <f t="shared" si="1"/>
        <v>270.4666666666667</v>
      </c>
      <c r="S6">
        <f t="shared" si="10"/>
        <v>264.94</v>
      </c>
      <c r="T6">
        <f t="shared" si="11"/>
        <v>19.47722858451209</v>
      </c>
      <c r="V6">
        <v>5</v>
      </c>
      <c r="W6">
        <f t="shared" si="12"/>
        <v>2.4488844153665488</v>
      </c>
      <c r="X6">
        <f t="shared" si="2"/>
        <v>2.8289548733433989</v>
      </c>
      <c r="Y6">
        <f t="shared" si="2"/>
        <v>2.7223620197953364</v>
      </c>
      <c r="Z6">
        <f t="shared" si="13"/>
        <v>2.6667337695017612</v>
      </c>
      <c r="AA6">
        <f t="shared" si="14"/>
        <v>0.19604658867148547</v>
      </c>
      <c r="AC6">
        <v>5</v>
      </c>
      <c r="AD6">
        <f t="shared" si="15"/>
        <v>137.34333333333333</v>
      </c>
      <c r="AE6">
        <f t="shared" si="3"/>
        <v>107.1133333333334</v>
      </c>
      <c r="AF6">
        <f t="shared" si="3"/>
        <v>157.71333333333337</v>
      </c>
      <c r="AG6">
        <f t="shared" si="16"/>
        <v>134.0566666666667</v>
      </c>
      <c r="AH6">
        <f t="shared" si="17"/>
        <v>25.459607878624904</v>
      </c>
      <c r="AJ6">
        <v>5</v>
      </c>
      <c r="AK6">
        <f t="shared" si="18"/>
        <v>1.3824190572051664</v>
      </c>
      <c r="AL6">
        <f t="shared" si="4"/>
        <v>1.078141251467875</v>
      </c>
      <c r="AM6">
        <f t="shared" si="4"/>
        <v>1.5874517698372759</v>
      </c>
      <c r="AN6">
        <f t="shared" si="19"/>
        <v>1.349337359503439</v>
      </c>
      <c r="AO6">
        <f t="shared" si="20"/>
        <v>0.25626178035857944</v>
      </c>
    </row>
    <row r="7" spans="1:41" x14ac:dyDescent="0.25">
      <c r="A7">
        <v>10</v>
      </c>
      <c r="B7">
        <v>961.68</v>
      </c>
      <c r="C7">
        <v>779.27</v>
      </c>
      <c r="D7">
        <v>1081.77</v>
      </c>
      <c r="E7">
        <f t="shared" si="5"/>
        <v>940.90666666666664</v>
      </c>
      <c r="F7">
        <f t="shared" si="6"/>
        <v>152.31615486655815</v>
      </c>
      <c r="H7">
        <v>10</v>
      </c>
      <c r="I7">
        <f t="shared" si="7"/>
        <v>9.6797181680926023</v>
      </c>
      <c r="J7">
        <f t="shared" si="0"/>
        <v>7.8436839456467036</v>
      </c>
      <c r="K7">
        <f t="shared" si="0"/>
        <v>10.88847508807247</v>
      </c>
      <c r="L7">
        <f t="shared" si="8"/>
        <v>9.4706257339372595</v>
      </c>
      <c r="M7">
        <f t="shared" si="9"/>
        <v>1.5331268733423118</v>
      </c>
      <c r="O7">
        <v>10</v>
      </c>
      <c r="P7">
        <f t="shared" si="1"/>
        <v>788.3266666666666</v>
      </c>
      <c r="Q7">
        <f t="shared" si="1"/>
        <v>605.91666666666663</v>
      </c>
      <c r="R7">
        <f t="shared" si="1"/>
        <v>908.41666666666663</v>
      </c>
      <c r="S7">
        <f t="shared" si="10"/>
        <v>767.55333333333328</v>
      </c>
      <c r="T7">
        <f t="shared" si="11"/>
        <v>152.31615486655815</v>
      </c>
      <c r="V7">
        <v>10</v>
      </c>
      <c r="W7">
        <f t="shared" si="12"/>
        <v>7.9348431471229661</v>
      </c>
      <c r="X7">
        <f t="shared" si="2"/>
        <v>6.0988089246770674</v>
      </c>
      <c r="Y7">
        <f t="shared" si="2"/>
        <v>9.1436000671028346</v>
      </c>
      <c r="Z7">
        <f t="shared" si="13"/>
        <v>7.7257507129676233</v>
      </c>
      <c r="AA7">
        <f t="shared" si="14"/>
        <v>1.533126873342298</v>
      </c>
      <c r="AC7">
        <v>10</v>
      </c>
      <c r="AD7">
        <f t="shared" si="15"/>
        <v>611.58333333333326</v>
      </c>
      <c r="AE7">
        <f t="shared" si="3"/>
        <v>478.42333333333329</v>
      </c>
      <c r="AF7">
        <f t="shared" si="3"/>
        <v>728.86333333333323</v>
      </c>
      <c r="AG7">
        <f t="shared" si="16"/>
        <v>606.29</v>
      </c>
      <c r="AH7">
        <f t="shared" si="17"/>
        <v>125.30388235538874</v>
      </c>
      <c r="AJ7">
        <v>10</v>
      </c>
      <c r="AK7">
        <f t="shared" si="18"/>
        <v>6.1558463345076326</v>
      </c>
      <c r="AL7">
        <f t="shared" si="4"/>
        <v>4.8155343063244427</v>
      </c>
      <c r="AM7">
        <f t="shared" si="4"/>
        <v>7.3363194094950508</v>
      </c>
      <c r="AN7">
        <f t="shared" si="19"/>
        <v>6.102566683442376</v>
      </c>
      <c r="AO7">
        <f t="shared" si="20"/>
        <v>1.2612368631644613</v>
      </c>
    </row>
    <row r="8" spans="1:41" x14ac:dyDescent="0.25">
      <c r="A8">
        <v>15</v>
      </c>
      <c r="B8">
        <v>1368.08</v>
      </c>
      <c r="C8">
        <v>1149.5</v>
      </c>
      <c r="D8">
        <v>1336.42</v>
      </c>
      <c r="E8">
        <f t="shared" si="5"/>
        <v>1284.6666666666667</v>
      </c>
      <c r="F8">
        <f t="shared" si="6"/>
        <v>118.12328192754099</v>
      </c>
      <c r="H8">
        <v>15</v>
      </c>
      <c r="I8">
        <f t="shared" si="7"/>
        <v>13.770306995470557</v>
      </c>
      <c r="J8">
        <f t="shared" si="0"/>
        <v>11.570206341217917</v>
      </c>
      <c r="K8">
        <f t="shared" si="0"/>
        <v>13.451635631605436</v>
      </c>
      <c r="L8">
        <f t="shared" si="8"/>
        <v>12.930716322764637</v>
      </c>
      <c r="M8">
        <f t="shared" si="9"/>
        <v>1.1889610662057468</v>
      </c>
      <c r="O8">
        <v>15</v>
      </c>
      <c r="P8">
        <f t="shared" si="1"/>
        <v>1194.7266666666667</v>
      </c>
      <c r="Q8">
        <f t="shared" si="1"/>
        <v>976.14666666666665</v>
      </c>
      <c r="R8">
        <f t="shared" si="1"/>
        <v>1163.0666666666668</v>
      </c>
      <c r="S8">
        <f t="shared" si="10"/>
        <v>1111.3133333333335</v>
      </c>
      <c r="T8">
        <f t="shared" si="11"/>
        <v>118.12328192754104</v>
      </c>
      <c r="V8">
        <v>15</v>
      </c>
      <c r="W8">
        <f t="shared" si="12"/>
        <v>12.025431974500922</v>
      </c>
      <c r="X8">
        <f t="shared" si="2"/>
        <v>9.8253313202482815</v>
      </c>
      <c r="Y8">
        <f t="shared" si="2"/>
        <v>11.706760610635801</v>
      </c>
      <c r="Z8">
        <f t="shared" si="13"/>
        <v>11.185841301795001</v>
      </c>
      <c r="AA8">
        <f t="shared" si="14"/>
        <v>1.1889610662057468</v>
      </c>
      <c r="AC8">
        <v>15</v>
      </c>
      <c r="AD8">
        <f t="shared" si="15"/>
        <v>971.00333333333333</v>
      </c>
      <c r="AE8">
        <f t="shared" si="3"/>
        <v>738.96333333333337</v>
      </c>
      <c r="AF8">
        <f t="shared" si="3"/>
        <v>947.63333333333344</v>
      </c>
      <c r="AG8">
        <f t="shared" si="16"/>
        <v>885.86666666666679</v>
      </c>
      <c r="AH8">
        <f t="shared" si="17"/>
        <v>127.7575094987893</v>
      </c>
      <c r="AJ8">
        <v>15</v>
      </c>
      <c r="AK8">
        <f t="shared" si="18"/>
        <v>9.7735614829726547</v>
      </c>
      <c r="AL8">
        <f t="shared" si="4"/>
        <v>7.4379802046636474</v>
      </c>
      <c r="AM8">
        <f t="shared" si="4"/>
        <v>9.5383324945478964</v>
      </c>
      <c r="AN8">
        <f t="shared" si="19"/>
        <v>8.9166247273947334</v>
      </c>
      <c r="AO8">
        <f t="shared" si="20"/>
        <v>1.2859336638026138</v>
      </c>
    </row>
    <row r="9" spans="1:41" x14ac:dyDescent="0.25">
      <c r="A9">
        <v>20</v>
      </c>
      <c r="B9">
        <v>1611.73</v>
      </c>
      <c r="C9">
        <v>1483.1</v>
      </c>
      <c r="D9">
        <v>1264.5999999999999</v>
      </c>
      <c r="E9">
        <f t="shared" si="5"/>
        <v>1453.1433333333334</v>
      </c>
      <c r="F9">
        <f t="shared" si="6"/>
        <v>175.49319255553291</v>
      </c>
      <c r="H9">
        <v>20</v>
      </c>
      <c r="I9">
        <f t="shared" si="7"/>
        <v>16.22274786109713</v>
      </c>
      <c r="J9">
        <f t="shared" si="0"/>
        <v>14.928032209360845</v>
      </c>
      <c r="K9">
        <f t="shared" si="0"/>
        <v>12.728736789129339</v>
      </c>
      <c r="L9">
        <f t="shared" si="8"/>
        <v>14.626505619862437</v>
      </c>
      <c r="M9">
        <f t="shared" si="9"/>
        <v>1.7664136140466318</v>
      </c>
      <c r="O9">
        <v>20</v>
      </c>
      <c r="P9">
        <f t="shared" si="1"/>
        <v>1438.3766666666668</v>
      </c>
      <c r="Q9">
        <f t="shared" si="1"/>
        <v>1309.7466666666667</v>
      </c>
      <c r="R9">
        <f t="shared" si="1"/>
        <v>1091.2466666666667</v>
      </c>
      <c r="S9">
        <f t="shared" si="10"/>
        <v>1279.79</v>
      </c>
      <c r="T9">
        <f t="shared" si="11"/>
        <v>175.49319255553385</v>
      </c>
      <c r="V9">
        <v>20</v>
      </c>
      <c r="W9">
        <f>I9-$L$4</f>
        <v>14.477872840127494</v>
      </c>
      <c r="X9">
        <f t="shared" si="2"/>
        <v>13.18315718839121</v>
      </c>
      <c r="Y9">
        <f t="shared" si="2"/>
        <v>10.983861768159704</v>
      </c>
      <c r="Z9">
        <f t="shared" si="13"/>
        <v>12.881630598892803</v>
      </c>
      <c r="AA9">
        <f t="shared" si="14"/>
        <v>1.7664136140466362</v>
      </c>
      <c r="AC9">
        <v>20</v>
      </c>
      <c r="AD9">
        <f t="shared" si="15"/>
        <v>1169.5233333333335</v>
      </c>
      <c r="AE9">
        <f t="shared" si="3"/>
        <v>1055.1433333333334</v>
      </c>
      <c r="AF9">
        <f t="shared" si="3"/>
        <v>858.40333333333342</v>
      </c>
      <c r="AG9">
        <f t="shared" si="16"/>
        <v>1027.6900000000003</v>
      </c>
      <c r="AH9">
        <f t="shared" si="17"/>
        <v>157.36638056882759</v>
      </c>
      <c r="AJ9">
        <v>20</v>
      </c>
      <c r="AK9">
        <f t="shared" si="18"/>
        <v>11.771749706425094</v>
      </c>
      <c r="AL9">
        <f t="shared" si="4"/>
        <v>10.620466364703908</v>
      </c>
      <c r="AM9">
        <f t="shared" si="4"/>
        <v>8.6401945982217754</v>
      </c>
      <c r="AN9">
        <f t="shared" si="19"/>
        <v>10.344136889783593</v>
      </c>
      <c r="AO9">
        <f t="shared" si="20"/>
        <v>1.5839595427159321</v>
      </c>
    </row>
    <row r="10" spans="1:41" x14ac:dyDescent="0.25">
      <c r="A10">
        <v>25</v>
      </c>
      <c r="B10">
        <v>2200.9499999999998</v>
      </c>
      <c r="C10">
        <v>1547</v>
      </c>
      <c r="D10">
        <v>1739.4</v>
      </c>
      <c r="E10">
        <f t="shared" si="5"/>
        <v>1829.1166666666668</v>
      </c>
      <c r="F10">
        <f t="shared" si="6"/>
        <v>336.07954539562877</v>
      </c>
      <c r="H10">
        <v>25</v>
      </c>
      <c r="I10">
        <f t="shared" si="7"/>
        <v>22.153497735279316</v>
      </c>
      <c r="J10">
        <f t="shared" si="0"/>
        <v>15.571212883744337</v>
      </c>
      <c r="K10">
        <f t="shared" si="0"/>
        <v>17.507800704579772</v>
      </c>
      <c r="L10">
        <f t="shared" si="8"/>
        <v>18.41083710786781</v>
      </c>
      <c r="M10">
        <f t="shared" si="9"/>
        <v>3.3827835470118894</v>
      </c>
      <c r="O10">
        <v>25</v>
      </c>
      <c r="P10">
        <f t="shared" si="1"/>
        <v>2027.5966666666666</v>
      </c>
      <c r="Q10">
        <f t="shared" si="1"/>
        <v>1373.6466666666668</v>
      </c>
      <c r="R10">
        <f t="shared" si="1"/>
        <v>1566.0466666666669</v>
      </c>
      <c r="S10">
        <f t="shared" si="10"/>
        <v>1655.7633333333333</v>
      </c>
      <c r="T10">
        <f t="shared" si="11"/>
        <v>336.07954539563087</v>
      </c>
      <c r="V10">
        <v>25</v>
      </c>
      <c r="W10">
        <f t="shared" si="12"/>
        <v>20.408622714309679</v>
      </c>
      <c r="X10">
        <f t="shared" si="2"/>
        <v>13.826337862774702</v>
      </c>
      <c r="Y10">
        <f t="shared" si="2"/>
        <v>15.762925683610137</v>
      </c>
      <c r="Z10">
        <f t="shared" si="13"/>
        <v>16.665962086898173</v>
      </c>
      <c r="AA10">
        <f t="shared" si="14"/>
        <v>3.3827835470118894</v>
      </c>
      <c r="AC10">
        <v>25</v>
      </c>
      <c r="AD10">
        <f t="shared" si="15"/>
        <v>1693.8033333333333</v>
      </c>
      <c r="AE10">
        <f t="shared" si="3"/>
        <v>1050.8133333333335</v>
      </c>
      <c r="AF10">
        <f t="shared" si="3"/>
        <v>1293.3333333333335</v>
      </c>
      <c r="AG10">
        <f t="shared" si="16"/>
        <v>1345.9833333333333</v>
      </c>
      <c r="AH10">
        <f t="shared" si="17"/>
        <v>324.71226016274755</v>
      </c>
      <c r="AJ10">
        <v>25</v>
      </c>
      <c r="AK10">
        <f t="shared" si="18"/>
        <v>17.048850863949003</v>
      </c>
      <c r="AL10">
        <f t="shared" si="4"/>
        <v>10.576883073309848</v>
      </c>
      <c r="AM10">
        <f t="shared" si="4"/>
        <v>13.017950008387858</v>
      </c>
      <c r="AN10">
        <f t="shared" si="19"/>
        <v>13.547894648548903</v>
      </c>
      <c r="AO10">
        <f t="shared" si="20"/>
        <v>3.2683669870432515</v>
      </c>
    </row>
    <row r="11" spans="1:41" x14ac:dyDescent="0.25">
      <c r="A11">
        <v>30</v>
      </c>
      <c r="B11">
        <v>2444.7800000000002</v>
      </c>
      <c r="C11">
        <v>2028.05</v>
      </c>
      <c r="D11">
        <v>1802.37</v>
      </c>
      <c r="E11">
        <f t="shared" si="5"/>
        <v>2091.7333333333331</v>
      </c>
      <c r="F11">
        <f t="shared" si="6"/>
        <v>325.90539614025124</v>
      </c>
      <c r="H11">
        <v>30</v>
      </c>
      <c r="I11">
        <f t="shared" si="7"/>
        <v>24.607750377453449</v>
      </c>
      <c r="J11">
        <f t="shared" si="0"/>
        <v>20.413185707096122</v>
      </c>
      <c r="K11">
        <f t="shared" si="0"/>
        <v>18.141620533467538</v>
      </c>
      <c r="L11">
        <f t="shared" si="8"/>
        <v>21.054185539339038</v>
      </c>
      <c r="M11">
        <f t="shared" si="9"/>
        <v>3.2803764080548414</v>
      </c>
      <c r="O11">
        <v>30</v>
      </c>
      <c r="P11">
        <f t="shared" si="1"/>
        <v>2271.4266666666667</v>
      </c>
      <c r="Q11">
        <f t="shared" si="1"/>
        <v>1854.6966666666667</v>
      </c>
      <c r="R11">
        <f t="shared" si="1"/>
        <v>1629.0166666666667</v>
      </c>
      <c r="S11">
        <f t="shared" si="10"/>
        <v>1918.3799999999999</v>
      </c>
      <c r="T11">
        <f t="shared" si="11"/>
        <v>325.90539614025124</v>
      </c>
      <c r="V11">
        <v>30</v>
      </c>
      <c r="W11">
        <f t="shared" si="12"/>
        <v>22.862875356483812</v>
      </c>
      <c r="X11">
        <f t="shared" si="2"/>
        <v>18.668310686126485</v>
      </c>
      <c r="Y11">
        <f t="shared" si="2"/>
        <v>16.396745512497901</v>
      </c>
      <c r="Z11">
        <f t="shared" si="13"/>
        <v>19.309310518369401</v>
      </c>
      <c r="AA11">
        <f t="shared" si="14"/>
        <v>3.2803764080548588</v>
      </c>
      <c r="AC11">
        <v>30</v>
      </c>
      <c r="AD11">
        <f t="shared" si="15"/>
        <v>1916.5933333333335</v>
      </c>
      <c r="AE11">
        <f t="shared" si="3"/>
        <v>1515.3533333333335</v>
      </c>
      <c r="AF11">
        <f t="shared" si="3"/>
        <v>1310.9833333333333</v>
      </c>
      <c r="AG11">
        <f t="shared" si="16"/>
        <v>1580.9766666666667</v>
      </c>
      <c r="AH11">
        <f t="shared" si="17"/>
        <v>308.09200644179907</v>
      </c>
      <c r="AJ11">
        <v>30</v>
      </c>
      <c r="AK11">
        <f t="shared" si="18"/>
        <v>19.291326958563999</v>
      </c>
      <c r="AL11">
        <f t="shared" si="4"/>
        <v>15.252675725549402</v>
      </c>
      <c r="AM11">
        <f t="shared" si="4"/>
        <v>13.19560476430129</v>
      </c>
      <c r="AN11">
        <f t="shared" si="19"/>
        <v>15.913202482804897</v>
      </c>
      <c r="AO11">
        <f t="shared" si="20"/>
        <v>3.1010770653427233</v>
      </c>
    </row>
    <row r="12" spans="1:41" x14ac:dyDescent="0.25">
      <c r="A12">
        <v>40</v>
      </c>
      <c r="B12">
        <v>3280.34</v>
      </c>
      <c r="C12">
        <v>3048.63</v>
      </c>
      <c r="D12">
        <v>3534.69</v>
      </c>
      <c r="E12">
        <f t="shared" si="5"/>
        <v>3287.8866666666668</v>
      </c>
      <c r="F12">
        <f t="shared" si="6"/>
        <v>243.11786243164715</v>
      </c>
      <c r="H12">
        <v>40</v>
      </c>
      <c r="I12">
        <f t="shared" si="7"/>
        <v>33.018017111222953</v>
      </c>
      <c r="J12">
        <f t="shared" si="0"/>
        <v>30.685757423251133</v>
      </c>
      <c r="K12">
        <f t="shared" si="0"/>
        <v>35.578158027176649</v>
      </c>
      <c r="L12">
        <f t="shared" si="8"/>
        <v>33.093977520550247</v>
      </c>
      <c r="M12">
        <f t="shared" si="9"/>
        <v>2.4470846747020354</v>
      </c>
      <c r="O12">
        <v>40</v>
      </c>
      <c r="P12">
        <f t="shared" si="1"/>
        <v>3106.9866666666667</v>
      </c>
      <c r="Q12">
        <f t="shared" si="1"/>
        <v>2875.2766666666666</v>
      </c>
      <c r="R12">
        <f t="shared" si="1"/>
        <v>3361.3366666666666</v>
      </c>
      <c r="S12">
        <f t="shared" si="10"/>
        <v>3114.5333333333333</v>
      </c>
      <c r="T12">
        <f t="shared" si="11"/>
        <v>243.11786243164715</v>
      </c>
      <c r="V12">
        <v>40</v>
      </c>
      <c r="W12">
        <f t="shared" si="12"/>
        <v>31.273142090253316</v>
      </c>
      <c r="X12">
        <f t="shared" si="2"/>
        <v>28.940882402281495</v>
      </c>
      <c r="Y12">
        <f t="shared" si="2"/>
        <v>33.833283006207012</v>
      </c>
      <c r="Z12">
        <f t="shared" si="13"/>
        <v>31.349102499580606</v>
      </c>
      <c r="AA12">
        <f t="shared" si="14"/>
        <v>2.4470846747020354</v>
      </c>
      <c r="AC12">
        <v>40</v>
      </c>
      <c r="AD12">
        <f t="shared" si="15"/>
        <v>2835.9433333333332</v>
      </c>
      <c r="AE12">
        <f t="shared" si="3"/>
        <v>2532.9733333333334</v>
      </c>
      <c r="AF12">
        <f t="shared" si="3"/>
        <v>3010.2833333333333</v>
      </c>
      <c r="AG12">
        <f t="shared" si="16"/>
        <v>2793.0666666666662</v>
      </c>
      <c r="AH12">
        <f t="shared" si="17"/>
        <v>241.52642802255266</v>
      </c>
      <c r="AJ12">
        <v>40</v>
      </c>
      <c r="AK12">
        <f t="shared" si="18"/>
        <v>28.544975675222279</v>
      </c>
      <c r="AL12">
        <f t="shared" si="4"/>
        <v>25.495453782922326</v>
      </c>
      <c r="AM12">
        <f t="shared" si="4"/>
        <v>30.299781915785942</v>
      </c>
      <c r="AN12">
        <f t="shared" si="19"/>
        <v>28.11340379131018</v>
      </c>
      <c r="AO12">
        <f t="shared" si="20"/>
        <v>2.4310662105943925</v>
      </c>
    </row>
    <row r="13" spans="1:41" x14ac:dyDescent="0.25">
      <c r="A13" t="s">
        <v>25</v>
      </c>
      <c r="B13">
        <v>649.32000000000005</v>
      </c>
      <c r="C13">
        <v>803.9</v>
      </c>
      <c r="D13">
        <v>727.34</v>
      </c>
      <c r="E13">
        <f t="shared" si="5"/>
        <v>726.85333333333335</v>
      </c>
      <c r="F13">
        <f t="shared" si="6"/>
        <v>77.291149126748834</v>
      </c>
      <c r="H13" t="s">
        <v>25</v>
      </c>
      <c r="I13">
        <f t="shared" si="7"/>
        <v>6.5356819325616513</v>
      </c>
      <c r="J13">
        <f t="shared" si="0"/>
        <v>8.0915953699043772</v>
      </c>
      <c r="K13">
        <f t="shared" si="0"/>
        <v>7.3209864116758938</v>
      </c>
      <c r="L13">
        <f t="shared" si="8"/>
        <v>7.3160879047139744</v>
      </c>
      <c r="M13">
        <f t="shared" si="9"/>
        <v>0.77796828512077287</v>
      </c>
      <c r="O13" t="s">
        <v>25</v>
      </c>
      <c r="P13">
        <f t="shared" si="1"/>
        <v>475.9666666666667</v>
      </c>
      <c r="Q13">
        <f t="shared" si="1"/>
        <v>630.54666666666662</v>
      </c>
      <c r="R13">
        <f t="shared" si="1"/>
        <v>553.98666666666668</v>
      </c>
      <c r="S13">
        <f t="shared" si="10"/>
        <v>553.5</v>
      </c>
      <c r="T13">
        <f t="shared" si="11"/>
        <v>77.291149126748422</v>
      </c>
      <c r="V13" t="s">
        <v>25</v>
      </c>
      <c r="W13">
        <f t="shared" si="12"/>
        <v>4.7908069115920151</v>
      </c>
      <c r="X13">
        <f t="shared" si="2"/>
        <v>6.346720348934741</v>
      </c>
      <c r="Y13">
        <f t="shared" si="2"/>
        <v>5.5761113907062576</v>
      </c>
      <c r="Z13">
        <f t="shared" si="13"/>
        <v>5.5712128837443373</v>
      </c>
      <c r="AA13">
        <f t="shared" si="14"/>
        <v>0.77796828512077743</v>
      </c>
      <c r="AC13" t="s">
        <v>25</v>
      </c>
      <c r="AD13">
        <f t="shared" si="15"/>
        <v>-231.35666666666657</v>
      </c>
      <c r="AE13">
        <f t="shared" si="3"/>
        <v>-36.226666666666688</v>
      </c>
      <c r="AF13">
        <f t="shared" si="3"/>
        <v>-12.74666666666667</v>
      </c>
      <c r="AG13">
        <f t="shared" si="16"/>
        <v>-93.443333333333314</v>
      </c>
      <c r="AH13">
        <f t="shared" si="17"/>
        <v>120.01205453342308</v>
      </c>
      <c r="AJ13" t="s">
        <v>25</v>
      </c>
      <c r="AK13">
        <f t="shared" si="18"/>
        <v>-2.3287032377117933</v>
      </c>
      <c r="AL13">
        <f t="shared" si="4"/>
        <v>-0.36463680590505199</v>
      </c>
      <c r="AM13">
        <f t="shared" si="4"/>
        <v>-0.12830062070122406</v>
      </c>
      <c r="AN13">
        <f t="shared" si="19"/>
        <v>-0.94054688810602316</v>
      </c>
      <c r="AO13">
        <f t="shared" si="20"/>
        <v>1.2079723657113548</v>
      </c>
    </row>
    <row r="16" spans="1:41" x14ac:dyDescent="0.25">
      <c r="A16" t="s">
        <v>26</v>
      </c>
      <c r="B16">
        <v>1</v>
      </c>
      <c r="C16">
        <v>2</v>
      </c>
      <c r="D16">
        <v>3</v>
      </c>
      <c r="E16" t="s">
        <v>23</v>
      </c>
      <c r="F16" t="s">
        <v>24</v>
      </c>
      <c r="H16" t="s">
        <v>26</v>
      </c>
      <c r="I16">
        <v>1</v>
      </c>
      <c r="J16">
        <v>2</v>
      </c>
      <c r="K16">
        <v>3</v>
      </c>
      <c r="L16" t="s">
        <v>23</v>
      </c>
      <c r="M16" t="s">
        <v>24</v>
      </c>
      <c r="O16" t="s">
        <v>26</v>
      </c>
      <c r="P16">
        <v>1</v>
      </c>
      <c r="Q16">
        <v>2</v>
      </c>
      <c r="R16">
        <v>3</v>
      </c>
      <c r="S16" t="s">
        <v>23</v>
      </c>
      <c r="T16" t="s">
        <v>24</v>
      </c>
      <c r="V16" t="s">
        <v>26</v>
      </c>
      <c r="W16">
        <v>1</v>
      </c>
      <c r="X16">
        <v>2</v>
      </c>
      <c r="Y16">
        <v>3</v>
      </c>
      <c r="Z16" t="s">
        <v>23</v>
      </c>
      <c r="AA16" t="s">
        <v>24</v>
      </c>
    </row>
    <row r="17" spans="1:27" x14ac:dyDescent="0.25">
      <c r="A17">
        <v>0</v>
      </c>
      <c r="B17">
        <v>53.09</v>
      </c>
      <c r="C17">
        <v>63.08</v>
      </c>
      <c r="D17">
        <v>44.14</v>
      </c>
      <c r="E17">
        <f>AVERAGE(B17:D17)</f>
        <v>53.436666666666667</v>
      </c>
      <c r="F17">
        <f>STDEV(B17:D17)</f>
        <v>9.4747576925921138</v>
      </c>
      <c r="H17">
        <v>0</v>
      </c>
      <c r="I17">
        <f>B17/$B$1*100</f>
        <v>0.53437342727730253</v>
      </c>
      <c r="J17">
        <f t="shared" ref="J17:K26" si="21">C17/$B$1*100</f>
        <v>0.63492702566683445</v>
      </c>
      <c r="K17">
        <f t="shared" si="21"/>
        <v>0.44428787116255664</v>
      </c>
      <c r="L17">
        <f>AVERAGE(I17:K17)</f>
        <v>0.53786277470223121</v>
      </c>
      <c r="M17">
        <f>STDEV(I17:K17)</f>
        <v>9.5367465451354633E-2</v>
      </c>
      <c r="O17">
        <v>0</v>
      </c>
      <c r="P17">
        <f>B17-$E$17</f>
        <v>-0.34666666666666401</v>
      </c>
      <c r="Q17">
        <f t="shared" ref="Q17:R26" si="22">C17-$E$17</f>
        <v>9.6433333333333309</v>
      </c>
      <c r="R17">
        <f t="shared" si="22"/>
        <v>-9.2966666666666669</v>
      </c>
      <c r="S17">
        <f>AVERAGE(P17:R17)</f>
        <v>0</v>
      </c>
      <c r="T17">
        <f>STDEV(P17:R17)</f>
        <v>9.4747576925921067</v>
      </c>
      <c r="V17">
        <v>0</v>
      </c>
      <c r="W17">
        <f>I17-$L$17</f>
        <v>-3.4893474249286793E-3</v>
      </c>
      <c r="X17">
        <f t="shared" ref="X17:Y26" si="23">J17-$L$17</f>
        <v>9.7064250964603249E-2</v>
      </c>
      <c r="Y17">
        <f t="shared" si="23"/>
        <v>-9.357490353967457E-2</v>
      </c>
      <c r="Z17">
        <f>AVERAGE(W17:Y17)</f>
        <v>0</v>
      </c>
      <c r="AA17">
        <f>STDEV(W17:Y17)</f>
        <v>9.5367465451354896E-2</v>
      </c>
    </row>
    <row r="18" spans="1:27" x14ac:dyDescent="0.25">
      <c r="A18">
        <v>2.5</v>
      </c>
      <c r="B18">
        <v>114.35</v>
      </c>
      <c r="C18">
        <v>137.44999999999999</v>
      </c>
      <c r="D18">
        <v>141.28</v>
      </c>
      <c r="E18">
        <f t="shared" ref="E18:E26" si="24">AVERAGE(B18:D18)</f>
        <v>131.02666666666667</v>
      </c>
      <c r="F18">
        <f t="shared" ref="F18:F26" si="25">STDEV(B18:D18)</f>
        <v>14.568824020260983</v>
      </c>
      <c r="H18">
        <v>2.5</v>
      </c>
      <c r="I18">
        <f t="shared" ref="I18:I26" si="26">B18/$B$1*100</f>
        <v>1.1509813789632612</v>
      </c>
      <c r="J18">
        <f t="shared" si="21"/>
        <v>1.3834927025666834</v>
      </c>
      <c r="K18">
        <f t="shared" si="21"/>
        <v>1.4220432813286361</v>
      </c>
      <c r="L18">
        <f t="shared" ref="L18:L26" si="27">AVERAGE(I18:K18)</f>
        <v>1.3188391209528605</v>
      </c>
      <c r="M18">
        <f t="shared" ref="M18:M26" si="28">STDEV(I18:K18)</f>
        <v>0.14664140936347234</v>
      </c>
      <c r="O18">
        <v>2.5</v>
      </c>
      <c r="P18">
        <f t="shared" ref="P18:P26" si="29">B18-$E$17</f>
        <v>60.913333333333327</v>
      </c>
      <c r="Q18">
        <f t="shared" si="22"/>
        <v>84.013333333333321</v>
      </c>
      <c r="R18">
        <f t="shared" si="22"/>
        <v>87.843333333333334</v>
      </c>
      <c r="S18">
        <f t="shared" ref="S18:S26" si="30">AVERAGE(P18:R18)</f>
        <v>77.589999999999989</v>
      </c>
      <c r="T18">
        <f t="shared" ref="T18:T26" si="31">STDEV(P18:R18)</f>
        <v>14.568824020260911</v>
      </c>
      <c r="V18">
        <v>2.5</v>
      </c>
      <c r="W18">
        <f t="shared" ref="W18:W26" si="32">I18-$L$17</f>
        <v>0.61311860426103004</v>
      </c>
      <c r="X18">
        <f t="shared" si="23"/>
        <v>0.84562992786445224</v>
      </c>
      <c r="Y18">
        <f t="shared" si="23"/>
        <v>0.88418050662640491</v>
      </c>
      <c r="Z18">
        <f t="shared" ref="Z18:Z26" si="33">AVERAGE(W18:Y18)</f>
        <v>0.78097634625062906</v>
      </c>
      <c r="AA18">
        <f t="shared" ref="AA18:AA26" si="34">STDEV(W18:Y18)</f>
        <v>0.1466414093634717</v>
      </c>
    </row>
    <row r="19" spans="1:27" x14ac:dyDescent="0.25">
      <c r="A19">
        <v>5</v>
      </c>
      <c r="B19">
        <v>159.38999999999999</v>
      </c>
      <c r="C19">
        <v>227.38</v>
      </c>
      <c r="D19">
        <v>166.19</v>
      </c>
      <c r="E19">
        <f t="shared" si="24"/>
        <v>184.32000000000002</v>
      </c>
      <c r="F19">
        <f t="shared" si="25"/>
        <v>37.445730063653421</v>
      </c>
      <c r="H19">
        <v>5</v>
      </c>
      <c r="I19">
        <f t="shared" si="26"/>
        <v>1.6043281328636134</v>
      </c>
      <c r="J19">
        <f t="shared" si="21"/>
        <v>2.2886763965777552</v>
      </c>
      <c r="K19">
        <f t="shared" si="21"/>
        <v>1.6727730246602919</v>
      </c>
      <c r="L19">
        <f t="shared" si="27"/>
        <v>1.8552591847005535</v>
      </c>
      <c r="M19">
        <f t="shared" si="28"/>
        <v>0.37690719741976431</v>
      </c>
      <c r="O19">
        <v>5</v>
      </c>
      <c r="P19">
        <f t="shared" si="29"/>
        <v>105.95333333333332</v>
      </c>
      <c r="Q19">
        <f t="shared" si="22"/>
        <v>173.94333333333333</v>
      </c>
      <c r="R19">
        <f t="shared" si="22"/>
        <v>112.75333333333333</v>
      </c>
      <c r="S19">
        <f t="shared" si="30"/>
        <v>130.88333333333333</v>
      </c>
      <c r="T19">
        <f t="shared" si="31"/>
        <v>37.445730063653471</v>
      </c>
      <c r="V19">
        <v>5</v>
      </c>
      <c r="W19">
        <f t="shared" si="32"/>
        <v>1.0664653581613823</v>
      </c>
      <c r="X19">
        <f t="shared" si="23"/>
        <v>1.7508136218755239</v>
      </c>
      <c r="Y19">
        <f t="shared" si="23"/>
        <v>1.1349102499580606</v>
      </c>
      <c r="Z19">
        <f t="shared" si="33"/>
        <v>1.3173964099983222</v>
      </c>
      <c r="AA19">
        <f t="shared" si="34"/>
        <v>0.37690719741976314</v>
      </c>
    </row>
    <row r="20" spans="1:27" x14ac:dyDescent="0.25">
      <c r="A20">
        <v>10</v>
      </c>
      <c r="B20">
        <v>230.18</v>
      </c>
      <c r="C20">
        <v>180.93</v>
      </c>
      <c r="D20">
        <v>232.99</v>
      </c>
      <c r="E20">
        <f t="shared" si="24"/>
        <v>214.70000000000002</v>
      </c>
      <c r="F20">
        <f t="shared" si="25"/>
        <v>29.279407439359151</v>
      </c>
      <c r="H20">
        <v>10</v>
      </c>
      <c r="I20">
        <f t="shared" si="26"/>
        <v>2.3168595873175644</v>
      </c>
      <c r="J20">
        <f t="shared" si="21"/>
        <v>1.8211373930548564</v>
      </c>
      <c r="K20">
        <f t="shared" si="21"/>
        <v>2.3451434323100151</v>
      </c>
      <c r="L20">
        <f t="shared" si="27"/>
        <v>2.1610468042274786</v>
      </c>
      <c r="M20">
        <f t="shared" si="28"/>
        <v>0.29470968736143915</v>
      </c>
      <c r="O20">
        <v>10</v>
      </c>
      <c r="P20">
        <f t="shared" si="29"/>
        <v>176.74333333333334</v>
      </c>
      <c r="Q20">
        <f t="shared" si="22"/>
        <v>127.49333333333334</v>
      </c>
      <c r="R20">
        <f t="shared" si="22"/>
        <v>179.55333333333334</v>
      </c>
      <c r="S20">
        <f t="shared" si="30"/>
        <v>161.26333333333335</v>
      </c>
      <c r="T20">
        <f t="shared" si="31"/>
        <v>29.279407439359026</v>
      </c>
      <c r="V20">
        <v>10</v>
      </c>
      <c r="W20">
        <f t="shared" si="32"/>
        <v>1.778996812615333</v>
      </c>
      <c r="X20">
        <f t="shared" si="23"/>
        <v>1.2832746183526251</v>
      </c>
      <c r="Y20">
        <f t="shared" si="23"/>
        <v>1.8072806576077838</v>
      </c>
      <c r="Z20">
        <f t="shared" si="33"/>
        <v>1.6231840295252473</v>
      </c>
      <c r="AA20">
        <f t="shared" si="34"/>
        <v>0.29470968736144143</v>
      </c>
    </row>
    <row r="21" spans="1:27" x14ac:dyDescent="0.25">
      <c r="A21">
        <v>15</v>
      </c>
      <c r="B21">
        <v>277.16000000000003</v>
      </c>
      <c r="C21">
        <v>290.62</v>
      </c>
      <c r="D21">
        <v>268.87</v>
      </c>
      <c r="E21">
        <f t="shared" si="24"/>
        <v>278.88333333333333</v>
      </c>
      <c r="F21">
        <f t="shared" si="25"/>
        <v>10.976931872492118</v>
      </c>
      <c r="H21">
        <v>15</v>
      </c>
      <c r="I21">
        <f t="shared" si="26"/>
        <v>2.7897332662304986</v>
      </c>
      <c r="J21">
        <f t="shared" si="21"/>
        <v>2.925213890286865</v>
      </c>
      <c r="K21">
        <f t="shared" si="21"/>
        <v>2.706290890790136</v>
      </c>
      <c r="L21">
        <f t="shared" si="27"/>
        <v>2.8070793491024997</v>
      </c>
      <c r="M21">
        <f t="shared" si="28"/>
        <v>0.11048748739297566</v>
      </c>
      <c r="O21">
        <v>15</v>
      </c>
      <c r="P21">
        <f t="shared" si="29"/>
        <v>223.72333333333336</v>
      </c>
      <c r="Q21">
        <f t="shared" si="22"/>
        <v>237.18333333333334</v>
      </c>
      <c r="R21">
        <f t="shared" si="22"/>
        <v>215.43333333333334</v>
      </c>
      <c r="S21">
        <f t="shared" si="30"/>
        <v>225.44666666666669</v>
      </c>
      <c r="T21">
        <f t="shared" si="31"/>
        <v>10.976931872492118</v>
      </c>
      <c r="V21">
        <v>15</v>
      </c>
      <c r="W21">
        <f t="shared" si="32"/>
        <v>2.2518704915282672</v>
      </c>
      <c r="X21">
        <f t="shared" si="23"/>
        <v>2.3873511155846336</v>
      </c>
      <c r="Y21">
        <f t="shared" si="23"/>
        <v>2.1684281160879046</v>
      </c>
      <c r="Z21">
        <f t="shared" si="33"/>
        <v>2.2692165744002684</v>
      </c>
      <c r="AA21">
        <f t="shared" si="34"/>
        <v>0.11048748739297566</v>
      </c>
    </row>
    <row r="22" spans="1:27" x14ac:dyDescent="0.25">
      <c r="A22">
        <v>20</v>
      </c>
      <c r="B22">
        <v>322.29000000000002</v>
      </c>
      <c r="C22">
        <v>308.04000000000002</v>
      </c>
      <c r="D22">
        <v>286.27999999999997</v>
      </c>
      <c r="E22">
        <f t="shared" si="24"/>
        <v>305.53666666666669</v>
      </c>
      <c r="F22">
        <f t="shared" si="25"/>
        <v>18.135049857481349</v>
      </c>
      <c r="H22">
        <v>20</v>
      </c>
      <c r="I22">
        <f t="shared" si="26"/>
        <v>3.2439859084046305</v>
      </c>
      <c r="J22">
        <f t="shared" si="21"/>
        <v>3.1005535983895318</v>
      </c>
      <c r="K22">
        <f t="shared" si="21"/>
        <v>2.8815299446401608</v>
      </c>
      <c r="L22">
        <f t="shared" si="27"/>
        <v>3.0753564838114413</v>
      </c>
      <c r="M22">
        <f t="shared" si="28"/>
        <v>0.18253698900333523</v>
      </c>
      <c r="O22">
        <v>20</v>
      </c>
      <c r="P22">
        <f t="shared" si="29"/>
        <v>268.85333333333335</v>
      </c>
      <c r="Q22">
        <f t="shared" si="22"/>
        <v>254.60333333333335</v>
      </c>
      <c r="R22">
        <f t="shared" si="22"/>
        <v>232.84333333333331</v>
      </c>
      <c r="S22">
        <f t="shared" si="30"/>
        <v>252.1</v>
      </c>
      <c r="T22">
        <f t="shared" si="31"/>
        <v>18.135049857481349</v>
      </c>
      <c r="V22">
        <v>20</v>
      </c>
      <c r="W22">
        <f t="shared" si="32"/>
        <v>2.7061231337023992</v>
      </c>
      <c r="X22">
        <f t="shared" si="23"/>
        <v>2.5626908236873005</v>
      </c>
      <c r="Y22">
        <f t="shared" si="23"/>
        <v>2.3436671699379295</v>
      </c>
      <c r="Z22">
        <f t="shared" si="33"/>
        <v>2.5374937091092096</v>
      </c>
      <c r="AA22">
        <f t="shared" si="34"/>
        <v>0.18253698900333523</v>
      </c>
    </row>
    <row r="23" spans="1:27" x14ac:dyDescent="0.25">
      <c r="A23">
        <v>25</v>
      </c>
      <c r="B23">
        <v>387.23</v>
      </c>
      <c r="C23">
        <v>376.27</v>
      </c>
      <c r="D23">
        <v>326.14999999999998</v>
      </c>
      <c r="E23">
        <f t="shared" si="24"/>
        <v>363.2166666666667</v>
      </c>
      <c r="F23">
        <f t="shared" si="25"/>
        <v>32.565069220459741</v>
      </c>
      <c r="H23">
        <v>25</v>
      </c>
      <c r="I23">
        <f t="shared" si="26"/>
        <v>3.897634625062909</v>
      </c>
      <c r="J23">
        <f t="shared" si="21"/>
        <v>3.7873175641670858</v>
      </c>
      <c r="K23">
        <f t="shared" si="21"/>
        <v>3.2828384499245091</v>
      </c>
      <c r="L23">
        <f t="shared" si="27"/>
        <v>3.6559302130515015</v>
      </c>
      <c r="M23">
        <f t="shared" si="28"/>
        <v>0.32778127046260425</v>
      </c>
      <c r="O23">
        <v>25</v>
      </c>
      <c r="P23">
        <f t="shared" si="29"/>
        <v>333.79333333333335</v>
      </c>
      <c r="Q23">
        <f t="shared" si="22"/>
        <v>322.83333333333331</v>
      </c>
      <c r="R23">
        <f t="shared" si="22"/>
        <v>272.71333333333331</v>
      </c>
      <c r="S23">
        <f t="shared" si="30"/>
        <v>309.77999999999997</v>
      </c>
      <c r="T23">
        <f t="shared" si="31"/>
        <v>32.565069220459741</v>
      </c>
      <c r="V23">
        <v>25</v>
      </c>
      <c r="W23">
        <f t="shared" si="32"/>
        <v>3.3597718503606777</v>
      </c>
      <c r="X23">
        <f t="shared" si="23"/>
        <v>3.2494547894648544</v>
      </c>
      <c r="Y23">
        <f t="shared" si="23"/>
        <v>2.7449756752222778</v>
      </c>
      <c r="Z23">
        <f t="shared" si="33"/>
        <v>3.1180674383492701</v>
      </c>
      <c r="AA23">
        <f t="shared" si="34"/>
        <v>0.32778127046260425</v>
      </c>
    </row>
    <row r="24" spans="1:27" x14ac:dyDescent="0.25">
      <c r="A24">
        <v>30</v>
      </c>
      <c r="B24">
        <v>408.27</v>
      </c>
      <c r="C24">
        <v>392.78</v>
      </c>
      <c r="D24">
        <v>371.47</v>
      </c>
      <c r="E24">
        <f t="shared" si="24"/>
        <v>390.84</v>
      </c>
      <c r="F24">
        <f t="shared" si="25"/>
        <v>18.476544590371844</v>
      </c>
      <c r="H24">
        <v>30</v>
      </c>
      <c r="I24">
        <f t="shared" si="26"/>
        <v>4.1094111726220435</v>
      </c>
      <c r="J24">
        <f t="shared" si="21"/>
        <v>3.9534977352793153</v>
      </c>
      <c r="K24">
        <f t="shared" si="21"/>
        <v>3.7390035228988427</v>
      </c>
      <c r="L24">
        <f t="shared" si="27"/>
        <v>3.9339708102667341</v>
      </c>
      <c r="M24">
        <f t="shared" si="28"/>
        <v>0.18597427871536854</v>
      </c>
      <c r="O24">
        <v>30</v>
      </c>
      <c r="P24">
        <f t="shared" si="29"/>
        <v>354.83333333333331</v>
      </c>
      <c r="Q24">
        <f t="shared" si="22"/>
        <v>339.34333333333331</v>
      </c>
      <c r="R24">
        <f t="shared" si="22"/>
        <v>318.03333333333336</v>
      </c>
      <c r="S24">
        <f t="shared" si="30"/>
        <v>337.40333333333336</v>
      </c>
      <c r="T24">
        <f t="shared" si="31"/>
        <v>18.476544590371844</v>
      </c>
      <c r="V24">
        <v>30</v>
      </c>
      <c r="W24">
        <f t="shared" si="32"/>
        <v>3.5715483979198122</v>
      </c>
      <c r="X24">
        <f t="shared" si="23"/>
        <v>3.4156349605770839</v>
      </c>
      <c r="Y24">
        <f t="shared" si="23"/>
        <v>3.2011407481966114</v>
      </c>
      <c r="Z24">
        <f t="shared" si="33"/>
        <v>3.3961080355645024</v>
      </c>
      <c r="AA24">
        <f t="shared" si="34"/>
        <v>0.18597427871536854</v>
      </c>
    </row>
    <row r="25" spans="1:27" x14ac:dyDescent="0.25">
      <c r="A25">
        <v>40</v>
      </c>
      <c r="B25">
        <v>324.48</v>
      </c>
      <c r="C25">
        <v>395.74</v>
      </c>
      <c r="D25">
        <v>404.49</v>
      </c>
      <c r="E25">
        <f t="shared" si="24"/>
        <v>374.90333333333336</v>
      </c>
      <c r="F25">
        <f t="shared" si="25"/>
        <v>43.886501721296185</v>
      </c>
      <c r="H25">
        <v>40</v>
      </c>
      <c r="I25">
        <f t="shared" si="26"/>
        <v>3.2660291897332669</v>
      </c>
      <c r="J25">
        <f t="shared" si="21"/>
        <v>3.9832913940613994</v>
      </c>
      <c r="K25">
        <f t="shared" si="21"/>
        <v>4.0713638651233017</v>
      </c>
      <c r="L25">
        <f t="shared" si="27"/>
        <v>3.7735614829726565</v>
      </c>
      <c r="M25">
        <f t="shared" si="28"/>
        <v>0.44173630318365542</v>
      </c>
      <c r="O25">
        <v>40</v>
      </c>
      <c r="P25">
        <f t="shared" si="29"/>
        <v>271.04333333333335</v>
      </c>
      <c r="Q25">
        <f t="shared" si="22"/>
        <v>342.30333333333334</v>
      </c>
      <c r="R25">
        <f t="shared" si="22"/>
        <v>351.05333333333334</v>
      </c>
      <c r="S25">
        <f t="shared" si="30"/>
        <v>321.4666666666667</v>
      </c>
      <c r="T25">
        <f t="shared" si="31"/>
        <v>43.886501721295922</v>
      </c>
      <c r="V25">
        <v>40</v>
      </c>
      <c r="W25">
        <f t="shared" si="32"/>
        <v>2.7281664150310356</v>
      </c>
      <c r="X25">
        <f t="shared" si="23"/>
        <v>3.4454286193591681</v>
      </c>
      <c r="Y25">
        <f t="shared" si="23"/>
        <v>3.5335010904210704</v>
      </c>
      <c r="Z25">
        <f t="shared" si="33"/>
        <v>3.2356987082704247</v>
      </c>
      <c r="AA25">
        <f t="shared" si="34"/>
        <v>0.44173630318365681</v>
      </c>
    </row>
    <row r="26" spans="1:27" x14ac:dyDescent="0.25">
      <c r="A26" t="s">
        <v>25</v>
      </c>
      <c r="B26">
        <v>760.76</v>
      </c>
      <c r="C26">
        <v>720.21</v>
      </c>
      <c r="D26">
        <v>620.16999999999996</v>
      </c>
      <c r="E26">
        <f t="shared" si="24"/>
        <v>700.38</v>
      </c>
      <c r="F26">
        <f t="shared" si="25"/>
        <v>72.362343107447842</v>
      </c>
      <c r="H26" t="s">
        <v>25</v>
      </c>
      <c r="I26">
        <f t="shared" si="26"/>
        <v>7.6573729240060393</v>
      </c>
      <c r="J26">
        <f t="shared" si="21"/>
        <v>7.2492199295420239</v>
      </c>
      <c r="K26">
        <f t="shared" si="21"/>
        <v>6.2422747861097125</v>
      </c>
      <c r="L26">
        <f t="shared" si="27"/>
        <v>7.049622546552591</v>
      </c>
      <c r="M26">
        <f t="shared" si="28"/>
        <v>0.72835775649167445</v>
      </c>
      <c r="O26" t="s">
        <v>25</v>
      </c>
      <c r="P26">
        <f t="shared" si="29"/>
        <v>707.32333333333327</v>
      </c>
      <c r="Q26">
        <f t="shared" si="22"/>
        <v>666.77333333333331</v>
      </c>
      <c r="R26">
        <f t="shared" si="22"/>
        <v>566.73333333333335</v>
      </c>
      <c r="S26">
        <f t="shared" si="30"/>
        <v>646.94333333333327</v>
      </c>
      <c r="T26">
        <f t="shared" si="31"/>
        <v>72.362343107447771</v>
      </c>
      <c r="V26" t="s">
        <v>25</v>
      </c>
      <c r="W26">
        <f t="shared" si="32"/>
        <v>7.1195101493038084</v>
      </c>
      <c r="X26">
        <f t="shared" si="23"/>
        <v>6.711357154839793</v>
      </c>
      <c r="Y26">
        <f t="shared" si="23"/>
        <v>5.7044120114074817</v>
      </c>
      <c r="Z26">
        <f t="shared" si="33"/>
        <v>6.511759771850361</v>
      </c>
      <c r="AA26">
        <f t="shared" si="34"/>
        <v>0.72835775649167445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5D912A-A0DE-40E3-9FD6-47997060BB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003717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Wagenaars, F.M.A.</dc:creator>
  <cp:lastModifiedBy>Wagenaars, F.M.A.</cp:lastModifiedBy>
  <dcterms:created xsi:type="dcterms:W3CDTF">2022-08-29T09:13:34Z</dcterms:created>
  <dcterms:modified xsi:type="dcterms:W3CDTF">2022-08-31T13:28:20Z</dcterms:modified>
</cp:coreProperties>
</file>